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omaportma-my.sharepoint.com/personal/o_abchir_somaport_ma/Documents/Bureau/"/>
    </mc:Choice>
  </mc:AlternateContent>
  <xr:revisionPtr revIDLastSave="7472" documentId="8_{522ADEEE-77A4-47BA-9E87-BD84035E8CFB}" xr6:coauthVersionLast="47" xr6:coauthVersionMax="47" xr10:uidLastSave="{B389F8A2-BF2E-455B-B8A0-35F1D65D325C}"/>
  <bookViews>
    <workbookView xWindow="-120" yWindow="-120" windowWidth="29040" windowHeight="15720" tabRatio="599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D16" i="1"/>
  <c r="C15" i="1"/>
  <c r="E39" i="1" l="1"/>
  <c r="E40" i="1"/>
  <c r="E34" i="1" l="1"/>
  <c r="E16" i="1" l="1"/>
  <c r="D15" i="1"/>
  <c r="C16" i="1"/>
  <c r="E37" i="1"/>
  <c r="E41" i="1"/>
  <c r="E15" i="1"/>
  <c r="F15" i="1" l="1"/>
  <c r="D21" i="1"/>
  <c r="E43" i="1"/>
  <c r="E35" i="1"/>
  <c r="E42" i="1"/>
  <c r="E38" i="1"/>
  <c r="E36" i="1"/>
  <c r="P15" i="1"/>
  <c r="F22" i="1" s="1"/>
  <c r="P14" i="1"/>
  <c r="E22" i="1" s="1"/>
  <c r="O14" i="1"/>
  <c r="D22" i="1" s="1"/>
  <c r="N14" i="1"/>
  <c r="C22" i="1" s="1"/>
  <c r="F21" i="1" l="1"/>
  <c r="F23" i="1" s="1"/>
  <c r="D23" i="1"/>
  <c r="C21" i="1"/>
  <c r="C23" i="1" s="1"/>
  <c r="E21" i="1"/>
  <c r="E23" i="1" s="1"/>
</calcChain>
</file>

<file path=xl/sharedStrings.xml><?xml version="1.0" encoding="utf-8"?>
<sst xmlns="http://schemas.openxmlformats.org/spreadsheetml/2006/main" count="56" uniqueCount="44">
  <si>
    <t xml:space="preserve">                                       SHIFT REPORT</t>
  </si>
  <si>
    <t>Code : FR01EXC01                                           Date :16/09/2019</t>
  </si>
  <si>
    <t>Date</t>
  </si>
  <si>
    <t xml:space="preserve">Portiques </t>
  </si>
  <si>
    <t>Navire</t>
  </si>
  <si>
    <t>Total moves</t>
  </si>
  <si>
    <t>DOC</t>
  </si>
  <si>
    <t>FOC</t>
  </si>
  <si>
    <t>Observations</t>
  </si>
  <si>
    <t>Import</t>
  </si>
  <si>
    <t>Export</t>
  </si>
  <si>
    <t>P1</t>
  </si>
  <si>
    <t>P2</t>
  </si>
  <si>
    <t>P4</t>
  </si>
  <si>
    <t>P3</t>
  </si>
  <si>
    <t>Portiques</t>
  </si>
  <si>
    <t xml:space="preserve"> </t>
  </si>
  <si>
    <t>Shifting déchargé</t>
  </si>
  <si>
    <t>Shifting chargé</t>
  </si>
  <si>
    <t xml:space="preserve">   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</si>
  <si>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</si>
  <si>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</si>
  <si>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</si>
  <si>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</si>
  <si>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</si>
  <si>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</si>
  <si>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Début</t>
  </si>
  <si>
    <t>Fin</t>
  </si>
  <si>
    <t>Durée</t>
  </si>
  <si>
    <t>Responsable de shift</t>
  </si>
  <si>
    <t>ABCHIR OUSSAMA</t>
  </si>
  <si>
    <t xml:space="preserve">  </t>
  </si>
  <si>
    <t xml:space="preserve">       </t>
  </si>
  <si>
    <t xml:space="preserve">    </t>
  </si>
  <si>
    <t>Prép de shift + Mvt de Portique</t>
  </si>
  <si>
    <t xml:space="preserve">Prép de shift + Mvt de Portique </t>
  </si>
  <si>
    <t>BELITAKI</t>
  </si>
  <si>
    <t>Parc saturé (zone import), congestion</t>
  </si>
  <si>
    <t>SHIFT 2</t>
  </si>
  <si>
    <t>CC JANE</t>
  </si>
  <si>
    <t>Manque des TC's vides Tarros (22G1,42U1, 45U1, LEG1)</t>
  </si>
  <si>
    <t>Retour de 1*TC vide endommagé</t>
  </si>
  <si>
    <t>Shifting parc pleins, Pleins non localisées, non localisées</t>
  </si>
  <si>
    <t>Libération des tracteurs ayant été chargés par les TC (IMP) du shift précédent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</si>
</sst>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4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26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b/>
      <sz val="12"/>
      <color theme="1"/>
      <name val="Tahoma"/>
      <family val="2"/>
    </font>
    <font>
      <sz val="10"/>
      <color indexed="10"/>
      <name val="Tahoma"/>
      <family val="2"/>
    </font>
    <font>
      <b/>
      <u/>
      <sz val="12"/>
      <color indexed="8"/>
      <name val="Tahoma"/>
      <family val="2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sz val="11"/>
      <name val="Tahoma"/>
      <family val="2"/>
    </font>
    <font>
      <sz val="12"/>
      <color indexed="10"/>
      <name val="Tahoma"/>
      <family val="2"/>
    </font>
    <font>
      <b/>
      <sz val="12"/>
      <color indexed="8"/>
      <name val="Tahoma"/>
      <family val="2"/>
    </font>
    <font>
      <b/>
      <i/>
      <sz val="12"/>
      <name val="Tahoma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12"/>
      <color rgb="FFFF0000"/>
      <name val="Tahoma"/>
      <family val="2"/>
    </font>
    <font>
      <b/>
      <i/>
      <sz val="12"/>
      <color theme="1"/>
      <name val="Tahoma"/>
      <family val="2"/>
    </font>
    <font>
      <b/>
      <u/>
      <sz val="12"/>
      <name val="Tahoma"/>
      <family val="2"/>
    </font>
    <font>
      <sz val="14"/>
      <name val="Tahoma"/>
      <family val="2"/>
    </font>
    <font>
      <sz val="11"/>
      <color theme="1"/>
      <name val="Aptos Narrow"/>
      <family val="2"/>
      <scheme val="minor"/>
    </font>
    <font>
      <b/>
      <sz val="16"/>
      <color theme="0"/>
      <name val="Tahoma"/>
      <family val="2"/>
    </font>
    <font>
      <b/>
      <sz val="14"/>
      <name val="Tahoma"/>
      <family val="2"/>
    </font>
    <font>
      <b/>
      <sz val="20"/>
      <color theme="0"/>
      <name val="Tahoma"/>
      <family val="2"/>
    </font>
    <font>
      <b/>
      <sz val="12"/>
      <color theme="1"/>
      <name val="Tahoma"/>
      <family val="2"/>
    </font>
    <font>
      <b/>
      <sz val="14"/>
      <color rgb="FFFF0000"/>
      <name val="Tahoma"/>
      <family val="2"/>
    </font>
    <font>
      <b/>
      <sz val="14"/>
      <color theme="1"/>
      <name val="Tahoma"/>
      <family val="2"/>
    </font>
    <font>
      <sz val="14"/>
      <color rgb="FFFF0000"/>
      <name val="Tahoma"/>
      <family val="2"/>
    </font>
    <font>
      <sz val="14"/>
      <name val="Tahoma"/>
      <family val="2"/>
    </font>
    <font>
      <b/>
      <sz val="16"/>
      <color rgb="FFFF0000"/>
      <name val="Tahoma"/>
      <family val="2"/>
    </font>
    <font>
      <b/>
      <sz val="16"/>
      <color theme="1"/>
      <name val="Tahoma"/>
      <family val="2"/>
    </font>
    <font>
      <sz val="8"/>
      <name val="Aptos Narrow"/>
      <family val="2"/>
      <scheme val="minor"/>
    </font>
    <font>
      <b/>
      <sz val="18"/>
      <name val="Tahoma"/>
      <family val="2"/>
    </font>
    <font>
      <b/>
      <sz val="18"/>
      <color theme="0"/>
      <name val="Tahoma"/>
      <family val="2"/>
    </font>
    <font>
      <b/>
      <sz val="18"/>
      <color rgb="FFFF0000"/>
      <name val="Tahoma"/>
      <family val="2"/>
    </font>
    <font>
      <b/>
      <sz val="20"/>
      <color theme="1"/>
      <name val="Tahoma"/>
      <family val="2"/>
    </font>
    <font>
      <b/>
      <sz val="20"/>
      <color rgb="FFFF000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1" fillId="0" borderId="0"/>
  </cellStyleXfs>
  <cellXfs count="227">
    <xf numFmtId="0" fontId="0" fillId="0" borderId="0" xfId="0"/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14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164" fontId="4" fillId="0" borderId="0" xfId="0" applyNumberFormat="1" applyFont="1" applyAlignment="1" applyProtection="1">
      <alignment horizontal="center" vertical="center" wrapText="1"/>
      <protection locked="0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0" fontId="2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4" fillId="0" borderId="22" xfId="0" applyFont="1" applyBorder="1" applyAlignment="1" applyProtection="1">
      <alignment horizontal="center" vertical="center" wrapText="1"/>
      <protection locked="0"/>
    </xf>
    <xf numFmtId="164" fontId="14" fillId="0" borderId="22" xfId="0" applyNumberFormat="1" applyFont="1" applyBorder="1" applyAlignment="1" applyProtection="1">
      <alignment horizontal="center"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14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3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5" fontId="29" fillId="0" borderId="0" xfId="0" applyNumberFormat="1" applyFont="1" applyAlignment="1">
      <alignment horizontal="center" vertical="center"/>
    </xf>
    <xf numFmtId="0" fontId="34" fillId="0" borderId="0" xfId="0" applyFont="1" applyAlignment="1" applyProtection="1">
      <alignment horizontal="center" vertical="center" wrapText="1"/>
      <protection locked="0"/>
    </xf>
    <xf numFmtId="0" fontId="6" fillId="3" borderId="35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4" fontId="5" fillId="0" borderId="34" xfId="0" applyNumberFormat="1" applyFont="1" applyBorder="1" applyAlignment="1" applyProtection="1">
      <alignment horizontal="center" vertical="center"/>
      <protection locked="0"/>
    </xf>
    <xf numFmtId="164" fontId="5" fillId="0" borderId="33" xfId="0" applyNumberFormat="1" applyFont="1" applyBorder="1" applyAlignment="1" applyProtection="1">
      <alignment horizontal="center" vertical="center"/>
      <protection locked="0"/>
    </xf>
    <xf numFmtId="164" fontId="5" fillId="0" borderId="36" xfId="0" applyNumberFormat="1" applyFont="1" applyBorder="1" applyAlignment="1" applyProtection="1">
      <alignment horizontal="center" vertical="center"/>
      <protection locked="0"/>
    </xf>
    <xf numFmtId="164" fontId="5" fillId="8" borderId="34" xfId="0" applyNumberFormat="1" applyFont="1" applyFill="1" applyBorder="1" applyAlignment="1">
      <alignment horizontal="center" vertical="center"/>
    </xf>
    <xf numFmtId="164" fontId="5" fillId="8" borderId="33" xfId="0" applyNumberFormat="1" applyFont="1" applyFill="1" applyBorder="1" applyAlignment="1">
      <alignment horizontal="center" vertical="center"/>
    </xf>
    <xf numFmtId="164" fontId="5" fillId="8" borderId="36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5" fillId="0" borderId="16" xfId="0" applyNumberFormat="1" applyFont="1" applyBorder="1" applyAlignment="1" applyProtection="1">
      <alignment horizontal="center" vertical="center"/>
      <protection locked="0"/>
    </xf>
    <xf numFmtId="164" fontId="5" fillId="0" borderId="17" xfId="0" applyNumberFormat="1" applyFont="1" applyBorder="1" applyAlignment="1" applyProtection="1">
      <alignment horizontal="center" vertical="center"/>
      <protection locked="0"/>
    </xf>
    <xf numFmtId="164" fontId="5" fillId="0" borderId="38" xfId="0" applyNumberFormat="1" applyFon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 vertical="center"/>
    </xf>
    <xf numFmtId="164" fontId="14" fillId="2" borderId="21" xfId="0" applyNumberFormat="1" applyFont="1" applyFill="1" applyBorder="1" applyAlignment="1" applyProtection="1">
      <alignment horizontal="center" vertical="center" wrapText="1"/>
      <protection locked="0"/>
    </xf>
    <xf numFmtId="164" fontId="14" fillId="2" borderId="30" xfId="0" applyNumberFormat="1" applyFont="1" applyFill="1" applyBorder="1" applyAlignment="1" applyProtection="1">
      <alignment horizontal="center" vertical="center" wrapText="1"/>
      <protection locked="0"/>
    </xf>
    <xf numFmtId="0" fontId="29" fillId="7" borderId="40" xfId="0" applyFont="1" applyFill="1" applyBorder="1" applyAlignment="1">
      <alignment horizontal="center" vertical="center"/>
    </xf>
    <xf numFmtId="0" fontId="29" fillId="7" borderId="28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33" fillId="6" borderId="32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6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1" fillId="0" borderId="0" xfId="2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1" fillId="0" borderId="0" xfId="2" applyAlignment="1">
      <alignment horizontal="center" vertical="center"/>
    </xf>
    <xf numFmtId="0" fontId="6" fillId="7" borderId="42" xfId="0" applyFont="1" applyFill="1" applyBorder="1" applyAlignment="1">
      <alignment horizontal="center" vertical="center"/>
    </xf>
    <xf numFmtId="0" fontId="6" fillId="7" borderId="32" xfId="0" applyFont="1" applyFill="1" applyBorder="1" applyAlignment="1" applyProtection="1">
      <alignment horizontal="center" vertical="center"/>
      <protection locked="0"/>
    </xf>
    <xf numFmtId="0" fontId="6" fillId="9" borderId="32" xfId="0" applyFont="1" applyFill="1" applyBorder="1" applyAlignment="1">
      <alignment horizontal="center" vertical="center"/>
    </xf>
    <xf numFmtId="164" fontId="29" fillId="0" borderId="32" xfId="0" applyNumberFormat="1" applyFont="1" applyBorder="1" applyAlignment="1" applyProtection="1">
      <alignment horizontal="center" vertical="center"/>
      <protection locked="0"/>
    </xf>
    <xf numFmtId="164" fontId="29" fillId="0" borderId="14" xfId="0" applyNumberFormat="1" applyFont="1" applyBorder="1" applyAlignment="1" applyProtection="1">
      <alignment horizontal="center" vertical="center"/>
      <protection locked="0"/>
    </xf>
    <xf numFmtId="164" fontId="29" fillId="8" borderId="32" xfId="0" applyNumberFormat="1" applyFont="1" applyFill="1" applyBorder="1" applyAlignment="1">
      <alignment horizontal="center" vertical="center"/>
    </xf>
    <xf numFmtId="164" fontId="29" fillId="0" borderId="49" xfId="0" applyNumberFormat="1" applyFont="1" applyBorder="1" applyAlignment="1" applyProtection="1">
      <alignment horizontal="center" vertical="center"/>
      <protection locked="0"/>
    </xf>
    <xf numFmtId="164" fontId="29" fillId="0" borderId="39" xfId="0" applyNumberFormat="1" applyFont="1" applyBorder="1" applyAlignment="1" applyProtection="1">
      <alignment horizontal="center" vertical="center"/>
      <protection locked="0"/>
    </xf>
    <xf numFmtId="164" fontId="29" fillId="8" borderId="49" xfId="0" applyNumberFormat="1" applyFont="1" applyFill="1" applyBorder="1" applyAlignment="1">
      <alignment horizontal="center" vertical="center"/>
    </xf>
    <xf numFmtId="0" fontId="29" fillId="10" borderId="0" xfId="0" applyFont="1" applyFill="1" applyAlignment="1" applyProtection="1">
      <alignment horizontal="center" vertical="center"/>
      <protection locked="0"/>
    </xf>
    <xf numFmtId="0" fontId="36" fillId="10" borderId="41" xfId="0" applyFont="1" applyFill="1" applyBorder="1" applyAlignment="1" applyProtection="1">
      <alignment horizontal="center" vertical="center"/>
      <protection locked="0"/>
    </xf>
    <xf numFmtId="0" fontId="29" fillId="10" borderId="18" xfId="0" applyFont="1" applyFill="1" applyBorder="1" applyAlignment="1" applyProtection="1">
      <alignment horizontal="center" vertical="center"/>
      <protection locked="0"/>
    </xf>
    <xf numFmtId="0" fontId="29" fillId="10" borderId="50" xfId="0" applyFont="1" applyFill="1" applyBorder="1" applyAlignment="1" applyProtection="1">
      <alignment horizontal="center" vertical="center"/>
      <protection locked="0"/>
    </xf>
    <xf numFmtId="0" fontId="36" fillId="10" borderId="1" xfId="0" applyFont="1" applyFill="1" applyBorder="1" applyAlignment="1" applyProtection="1">
      <alignment horizontal="center" vertical="center"/>
      <protection locked="0"/>
    </xf>
    <xf numFmtId="2" fontId="6" fillId="10" borderId="32" xfId="0" applyNumberFormat="1" applyFont="1" applyFill="1" applyBorder="1" applyAlignment="1">
      <alignment horizontal="center" vertical="center"/>
    </xf>
    <xf numFmtId="2" fontId="6" fillId="10" borderId="2" xfId="0" applyNumberFormat="1" applyFont="1" applyFill="1" applyBorder="1" applyAlignment="1">
      <alignment horizontal="center" vertical="center"/>
    </xf>
    <xf numFmtId="2" fontId="6" fillId="10" borderId="14" xfId="0" applyNumberFormat="1" applyFont="1" applyFill="1" applyBorder="1" applyAlignment="1">
      <alignment horizontal="center" vertical="center"/>
    </xf>
    <xf numFmtId="2" fontId="6" fillId="10" borderId="40" xfId="0" applyNumberFormat="1" applyFont="1" applyFill="1" applyBorder="1" applyAlignment="1">
      <alignment horizontal="center" vertical="center"/>
    </xf>
    <xf numFmtId="2" fontId="6" fillId="10" borderId="28" xfId="0" applyNumberFormat="1" applyFont="1" applyFill="1" applyBorder="1" applyAlignment="1">
      <alignment horizontal="center" vertical="center"/>
    </xf>
    <xf numFmtId="2" fontId="6" fillId="10" borderId="29" xfId="0" applyNumberFormat="1" applyFont="1" applyFill="1" applyBorder="1" applyAlignment="1">
      <alignment horizontal="center" vertical="center"/>
    </xf>
    <xf numFmtId="0" fontId="40" fillId="3" borderId="32" xfId="0" applyFont="1" applyFill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/>
    </xf>
    <xf numFmtId="0" fontId="40" fillId="3" borderId="14" xfId="0" applyFont="1" applyFill="1" applyBorder="1" applyAlignment="1">
      <alignment horizontal="center" vertical="center"/>
    </xf>
    <xf numFmtId="164" fontId="29" fillId="8" borderId="50" xfId="0" applyNumberFormat="1" applyFont="1" applyFill="1" applyBorder="1" applyAlignment="1">
      <alignment horizontal="center" vertical="center"/>
    </xf>
    <xf numFmtId="0" fontId="33" fillId="9" borderId="32" xfId="0" applyFont="1" applyFill="1" applyBorder="1" applyAlignment="1">
      <alignment horizontal="center" vertical="center"/>
    </xf>
    <xf numFmtId="0" fontId="33" fillId="7" borderId="40" xfId="0" applyFont="1" applyFill="1" applyBorder="1" applyAlignment="1">
      <alignment horizontal="center" vertical="center"/>
    </xf>
    <xf numFmtId="164" fontId="29" fillId="0" borderId="40" xfId="0" applyNumberFormat="1" applyFont="1" applyBorder="1" applyAlignment="1" applyProtection="1">
      <alignment horizontal="center" vertical="center"/>
      <protection locked="0"/>
    </xf>
    <xf numFmtId="164" fontId="29" fillId="0" borderId="55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2" borderId="0" xfId="0" applyFont="1" applyFill="1" applyAlignment="1">
      <alignment vertical="center"/>
    </xf>
    <xf numFmtId="164" fontId="4" fillId="0" borderId="0" xfId="0" applyNumberFormat="1" applyFont="1" applyAlignment="1" applyProtection="1">
      <alignment vertical="center" wrapText="1"/>
      <protection locked="0"/>
    </xf>
    <xf numFmtId="0" fontId="2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11" borderId="40" xfId="0" applyFont="1" applyFill="1" applyBorder="1" applyAlignment="1" applyProtection="1">
      <alignment horizontal="center" vertical="center"/>
      <protection locked="0"/>
    </xf>
    <xf numFmtId="164" fontId="29" fillId="12" borderId="32" xfId="0" applyNumberFormat="1" applyFont="1" applyFill="1" applyBorder="1" applyAlignment="1" applyProtection="1">
      <alignment horizontal="center" vertical="center"/>
      <protection locked="0"/>
    </xf>
    <xf numFmtId="0" fontId="3" fillId="4" borderId="43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29" fillId="10" borderId="32" xfId="0" applyFont="1" applyFill="1" applyBorder="1" applyAlignment="1" applyProtection="1">
      <alignment horizontal="center" vertical="center"/>
      <protection locked="0"/>
    </xf>
    <xf numFmtId="164" fontId="6" fillId="0" borderId="39" xfId="0" applyNumberFormat="1" applyFont="1" applyBorder="1" applyAlignment="1" applyProtection="1">
      <alignment horizontal="center" vertical="center"/>
      <protection locked="0"/>
    </xf>
    <xf numFmtId="0" fontId="6" fillId="14" borderId="40" xfId="0" applyFont="1" applyFill="1" applyBorder="1" applyAlignment="1" applyProtection="1">
      <alignment horizontal="center" vertical="center"/>
      <protection locked="0"/>
    </xf>
    <xf numFmtId="0" fontId="6" fillId="14" borderId="32" xfId="0" applyFont="1" applyFill="1" applyBorder="1" applyAlignment="1" applyProtection="1">
      <alignment horizontal="center" vertical="center"/>
      <protection locked="0"/>
    </xf>
    <xf numFmtId="164" fontId="29" fillId="14" borderId="32" xfId="0" applyNumberFormat="1" applyFont="1" applyFill="1" applyBorder="1" applyAlignment="1" applyProtection="1">
      <alignment horizontal="center" vertical="center"/>
      <protection locked="0"/>
    </xf>
    <xf numFmtId="0" fontId="36" fillId="0" borderId="1" xfId="0" applyFont="1" applyBorder="1" applyAlignment="1" applyProtection="1">
      <alignment horizontal="center" vertical="center" wrapText="1"/>
      <protection locked="0"/>
    </xf>
    <xf numFmtId="0" fontId="36" fillId="0" borderId="2" xfId="0" applyFont="1" applyBorder="1" applyAlignment="1" applyProtection="1">
      <alignment horizontal="center" vertical="center" wrapText="1"/>
      <protection locked="0"/>
    </xf>
    <xf numFmtId="164" fontId="36" fillId="2" borderId="44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46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45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30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164" fontId="41" fillId="2" borderId="44" xfId="0" applyNumberFormat="1" applyFont="1" applyFill="1" applyBorder="1" applyAlignment="1" applyProtection="1">
      <alignment horizontal="center" vertical="center" wrapText="1"/>
      <protection locked="0"/>
    </xf>
    <xf numFmtId="164" fontId="41" fillId="2" borderId="46" xfId="0" applyNumberFormat="1" applyFont="1" applyFill="1" applyBorder="1" applyAlignment="1" applyProtection="1">
      <alignment horizontal="center" vertical="center" wrapText="1"/>
      <protection locked="0"/>
    </xf>
    <xf numFmtId="164" fontId="41" fillId="2" borderId="45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1" xfId="0" applyFont="1" applyBorder="1" applyAlignment="1" applyProtection="1">
      <alignment horizontal="center" vertical="center"/>
      <protection locked="0"/>
    </xf>
    <xf numFmtId="0" fontId="36" fillId="0" borderId="14" xfId="0" applyFont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28" fillId="13" borderId="13" xfId="0" applyFont="1" applyFill="1" applyBorder="1" applyAlignment="1">
      <alignment horizontal="center" vertical="center"/>
    </xf>
    <xf numFmtId="0" fontId="28" fillId="13" borderId="5" xfId="0" applyFont="1" applyFill="1" applyBorder="1" applyAlignment="1">
      <alignment horizontal="center" vertical="center"/>
    </xf>
    <xf numFmtId="0" fontId="32" fillId="0" borderId="1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164" fontId="29" fillId="2" borderId="24" xfId="0" applyNumberFormat="1" applyFont="1" applyFill="1" applyBorder="1" applyAlignment="1" applyProtection="1">
      <alignment horizontal="center" vertical="center" wrapText="1"/>
      <protection locked="0"/>
    </xf>
    <xf numFmtId="164" fontId="29" fillId="2" borderId="25" xfId="0" applyNumberFormat="1" applyFont="1" applyFill="1" applyBorder="1" applyAlignment="1" applyProtection="1">
      <alignment horizontal="center" vertical="center" wrapText="1"/>
      <protection locked="0"/>
    </xf>
    <xf numFmtId="164" fontId="29" fillId="2" borderId="27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21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6" fillId="3" borderId="24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8" fillId="0" borderId="20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39" fillId="3" borderId="1" xfId="0" applyFont="1" applyFill="1" applyBorder="1" applyAlignment="1" applyProtection="1">
      <alignment horizontal="center" vertical="center"/>
      <protection locked="0"/>
    </xf>
    <xf numFmtId="0" fontId="39" fillId="3" borderId="2" xfId="0" applyFont="1" applyFill="1" applyBorder="1" applyAlignment="1" applyProtection="1">
      <alignment horizontal="center" vertical="center"/>
      <protection locked="0"/>
    </xf>
    <xf numFmtId="0" fontId="37" fillId="3" borderId="51" xfId="0" applyFont="1" applyFill="1" applyBorder="1" applyAlignment="1" applyProtection="1">
      <alignment horizontal="center" vertical="center" wrapText="1"/>
      <protection locked="0"/>
    </xf>
    <xf numFmtId="0" fontId="3" fillId="3" borderId="52" xfId="0" applyFont="1" applyFill="1" applyBorder="1" applyAlignment="1" applyProtection="1">
      <alignment horizontal="center" vertical="center" wrapText="1"/>
      <protection locked="0"/>
    </xf>
    <xf numFmtId="0" fontId="3" fillId="3" borderId="53" xfId="0" applyFont="1" applyFill="1" applyBorder="1" applyAlignment="1" applyProtection="1">
      <alignment horizontal="center" vertical="center" wrapText="1"/>
      <protection locked="0"/>
    </xf>
    <xf numFmtId="0" fontId="29" fillId="10" borderId="1" xfId="0" applyFont="1" applyFill="1" applyBorder="1" applyAlignment="1" applyProtection="1">
      <alignment horizontal="center" vertical="center"/>
      <protection locked="0"/>
    </xf>
    <xf numFmtId="0" fontId="29" fillId="10" borderId="14" xfId="0" applyFont="1" applyFill="1" applyBorder="1" applyAlignment="1" applyProtection="1">
      <alignment horizontal="center" vertical="center"/>
      <protection locked="0"/>
    </xf>
    <xf numFmtId="0" fontId="36" fillId="5" borderId="24" xfId="0" applyFont="1" applyFill="1" applyBorder="1" applyAlignment="1" applyProtection="1">
      <alignment horizontal="center" vertical="center" wrapText="1"/>
      <protection locked="0"/>
    </xf>
    <xf numFmtId="0" fontId="36" fillId="5" borderId="25" xfId="0" applyFont="1" applyFill="1" applyBorder="1" applyAlignment="1" applyProtection="1">
      <alignment horizontal="center" vertical="center" wrapText="1"/>
      <protection locked="0"/>
    </xf>
    <xf numFmtId="0" fontId="36" fillId="5" borderId="27" xfId="0" applyFont="1" applyFill="1" applyBorder="1" applyAlignment="1" applyProtection="1">
      <alignment horizontal="center" vertical="center" wrapText="1"/>
      <protection locked="0"/>
    </xf>
    <xf numFmtId="0" fontId="11" fillId="2" borderId="18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29" fillId="10" borderId="43" xfId="0" applyFont="1" applyFill="1" applyBorder="1" applyAlignment="1" applyProtection="1">
      <alignment horizontal="center" vertical="center"/>
      <protection locked="0"/>
    </xf>
    <xf numFmtId="0" fontId="29" fillId="10" borderId="0" xfId="0" applyFont="1" applyFill="1" applyAlignment="1" applyProtection="1">
      <alignment horizontal="center" vertical="center"/>
      <protection locked="0"/>
    </xf>
    <xf numFmtId="0" fontId="42" fillId="5" borderId="43" xfId="0" applyFont="1" applyFill="1" applyBorder="1" applyAlignment="1" applyProtection="1">
      <alignment horizontal="center" vertical="center" wrapText="1"/>
      <protection locked="0"/>
    </xf>
    <xf numFmtId="0" fontId="43" fillId="5" borderId="0" xfId="0" applyFont="1" applyFill="1" applyAlignment="1" applyProtection="1">
      <alignment horizontal="center" vertical="center" wrapText="1"/>
      <protection locked="0"/>
    </xf>
    <xf numFmtId="0" fontId="43" fillId="5" borderId="39" xfId="0" applyFont="1" applyFill="1" applyBorder="1" applyAlignment="1" applyProtection="1">
      <alignment horizontal="center" vertical="center" wrapText="1"/>
      <protection locked="0"/>
    </xf>
    <xf numFmtId="0" fontId="29" fillId="10" borderId="42" xfId="0" applyFont="1" applyFill="1" applyBorder="1" applyAlignment="1" applyProtection="1">
      <alignment horizontal="center" vertical="center"/>
      <protection locked="0"/>
    </xf>
    <xf numFmtId="0" fontId="29" fillId="10" borderId="19" xfId="0" applyFont="1" applyFill="1" applyBorder="1" applyAlignment="1" applyProtection="1">
      <alignment horizontal="center" vertical="center"/>
      <protection locked="0"/>
    </xf>
    <xf numFmtId="0" fontId="36" fillId="5" borderId="47" xfId="0" applyFont="1" applyFill="1" applyBorder="1" applyAlignment="1" applyProtection="1">
      <alignment horizontal="center" vertical="center" wrapText="1"/>
      <protection locked="0"/>
    </xf>
    <xf numFmtId="0" fontId="36" fillId="5" borderId="54" xfId="0" applyFont="1" applyFill="1" applyBorder="1" applyAlignment="1" applyProtection="1">
      <alignment horizontal="center" vertical="center" wrapText="1"/>
      <protection locked="0"/>
    </xf>
    <xf numFmtId="0" fontId="36" fillId="5" borderId="48" xfId="0" applyFont="1" applyFill="1" applyBorder="1" applyAlignment="1" applyProtection="1">
      <alignment horizontal="center" vertical="center" wrapText="1"/>
      <protection locked="0"/>
    </xf>
    <xf numFmtId="0" fontId="29" fillId="6" borderId="1" xfId="0" applyFont="1" applyFill="1" applyBorder="1" applyAlignment="1" applyProtection="1">
      <alignment horizontal="center" vertical="center"/>
      <protection locked="0"/>
    </xf>
    <xf numFmtId="0" fontId="29" fillId="6" borderId="14" xfId="0" applyFont="1" applyFill="1" applyBorder="1" applyAlignment="1" applyProtection="1">
      <alignment horizontal="center" vertical="center"/>
      <protection locked="0"/>
    </xf>
    <xf numFmtId="0" fontId="29" fillId="7" borderId="1" xfId="0" applyFont="1" applyFill="1" applyBorder="1" applyAlignment="1" applyProtection="1">
      <alignment horizontal="center" vertical="center"/>
      <protection locked="0"/>
    </xf>
    <xf numFmtId="0" fontId="29" fillId="7" borderId="14" xfId="0" applyFont="1" applyFill="1" applyBorder="1" applyAlignment="1" applyProtection="1">
      <alignment horizontal="center" vertical="center"/>
      <protection locked="0"/>
    </xf>
    <xf numFmtId="0" fontId="42" fillId="5" borderId="1" xfId="0" applyFont="1" applyFill="1" applyBorder="1" applyAlignment="1" applyProtection="1">
      <alignment horizontal="center" vertical="center" wrapText="1"/>
      <protection locked="0"/>
    </xf>
    <xf numFmtId="0" fontId="43" fillId="5" borderId="2" xfId="0" applyFont="1" applyFill="1" applyBorder="1" applyAlignment="1" applyProtection="1">
      <alignment horizontal="center" vertical="center" wrapText="1"/>
      <protection locked="0"/>
    </xf>
    <xf numFmtId="0" fontId="43" fillId="5" borderId="14" xfId="0" applyFont="1" applyFill="1" applyBorder="1" applyAlignment="1" applyProtection="1">
      <alignment horizontal="center" vertical="center" wrapText="1"/>
      <protection locked="0"/>
    </xf>
    <xf numFmtId="0" fontId="29" fillId="10" borderId="2" xfId="0" applyFont="1" applyFill="1" applyBorder="1" applyAlignment="1" applyProtection="1">
      <alignment horizontal="center" vertical="center"/>
      <protection locked="0"/>
    </xf>
    <xf numFmtId="0" fontId="7" fillId="2" borderId="1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22" fontId="8" fillId="2" borderId="18" xfId="0" applyNumberFormat="1" applyFont="1" applyFill="1" applyBorder="1" applyAlignment="1">
      <alignment horizontal="center" vertical="center"/>
    </xf>
    <xf numFmtId="22" fontId="7" fillId="2" borderId="18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 applyProtection="1">
      <alignment horizontal="center" vertical="center"/>
      <protection locked="0"/>
    </xf>
    <xf numFmtId="0" fontId="29" fillId="14" borderId="14" xfId="0" applyFont="1" applyFill="1" applyBorder="1" applyAlignment="1" applyProtection="1">
      <alignment horizontal="center" vertical="center"/>
      <protection locked="0"/>
    </xf>
    <xf numFmtId="164" fontId="37" fillId="14" borderId="24" xfId="0" applyNumberFormat="1" applyFont="1" applyFill="1" applyBorder="1" applyAlignment="1" applyProtection="1">
      <alignment horizontal="center" vertical="center" wrapText="1"/>
      <protection locked="0"/>
    </xf>
    <xf numFmtId="164" fontId="37" fillId="14" borderId="25" xfId="0" applyNumberFormat="1" applyFont="1" applyFill="1" applyBorder="1" applyAlignment="1" applyProtection="1">
      <alignment horizontal="center" vertical="center" wrapText="1"/>
      <protection locked="0"/>
    </xf>
    <xf numFmtId="164" fontId="37" fillId="14" borderId="27" xfId="0" applyNumberFormat="1" applyFont="1" applyFill="1" applyBorder="1" applyAlignment="1" applyProtection="1">
      <alignment horizontal="center" vertical="center" wrapText="1"/>
      <protection locked="0"/>
    </xf>
    <xf numFmtId="14" fontId="28" fillId="3" borderId="1" xfId="0" applyNumberFormat="1" applyFont="1" applyFill="1" applyBorder="1" applyAlignment="1" applyProtection="1">
      <alignment horizontal="center" vertical="center"/>
      <protection locked="0"/>
    </xf>
    <xf numFmtId="14" fontId="28" fillId="3" borderId="2" xfId="0" applyNumberFormat="1" applyFont="1" applyFill="1" applyBorder="1" applyAlignment="1" applyProtection="1">
      <alignment horizontal="center" vertical="center"/>
      <protection locked="0"/>
    </xf>
    <xf numFmtId="14" fontId="28" fillId="3" borderId="14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29" fillId="5" borderId="14" xfId="0" applyFont="1" applyFill="1" applyBorder="1" applyAlignment="1" applyProtection="1">
      <alignment horizontal="center" vertical="center"/>
      <protection locked="0"/>
    </xf>
    <xf numFmtId="164" fontId="37" fillId="5" borderId="24" xfId="0" applyNumberFormat="1" applyFont="1" applyFill="1" applyBorder="1" applyAlignment="1" applyProtection="1">
      <alignment horizontal="center" vertical="center" wrapText="1"/>
      <protection locked="0"/>
    </xf>
    <xf numFmtId="164" fontId="37" fillId="5" borderId="25" xfId="0" applyNumberFormat="1" applyFont="1" applyFill="1" applyBorder="1" applyAlignment="1" applyProtection="1">
      <alignment horizontal="center" vertical="center" wrapText="1"/>
      <protection locked="0"/>
    </xf>
    <xf numFmtId="164" fontId="37" fillId="5" borderId="27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37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13" borderId="2" xfId="0" applyFont="1" applyFill="1" applyBorder="1" applyAlignment="1">
      <alignment horizontal="center" vertical="center"/>
    </xf>
    <xf numFmtId="0" fontId="28" fillId="13" borderId="14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3" xr:uid="{5E04BD0A-9284-42D6-9085-BE9C735B168A}"/>
    <cellStyle name="Normal 3" xfId="2" xr:uid="{B2803022-9B6A-4B58-8F79-E032879F87FD}"/>
  </cellStyles>
  <dxfs count="0"/>
  <tableStyles count="0" defaultTableStyle="TableStyleMedium2" defaultPivotStyle="PivotStyleLight16"/>
  <colors>
    <mruColors>
      <color rgb="FFC8F2F8"/>
      <color rgb="FFEC804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T81"/>
  <sheetViews>
    <sheetView tabSelected="1" zoomScale="66" zoomScaleNormal="66" workbookViewId="0">
      <selection activeCell="G10" sqref="G10"/>
    </sheetView>
  </sheetViews>
  <sheetFormatPr baseColWidth="10" defaultColWidth="10.75" defaultRowHeight="13.5" x14ac:dyDescent="0.15"/>
  <cols>
    <col min="1" max="1" width="13.5" style="1" customWidth="1"/>
    <col min="2" max="2" width="19.25" style="1" customWidth="1"/>
    <col min="3" max="3" width="14" style="1" customWidth="1"/>
    <col min="4" max="4" width="12.375" style="1" bestFit="1" customWidth="1"/>
    <col min="5" max="5" width="15" style="1" customWidth="1"/>
    <col min="6" max="6" width="14.75" style="1" bestFit="1" customWidth="1"/>
    <col min="7" max="7" width="13" style="1" bestFit="1" customWidth="1"/>
    <col min="8" max="8" width="13" style="1" customWidth="1"/>
    <col min="9" max="9" width="42.625" style="1" customWidth="1"/>
    <col min="10" max="10" width="88" style="1" customWidth="1"/>
    <col min="11" max="11" width="18.375" style="1" bestFit="1" customWidth="1"/>
    <col min="12" max="12" width="16.125" style="1" customWidth="1"/>
    <col min="13" max="13" width="10.75" style="1" customWidth="1"/>
    <col min="14" max="14" width="5.625" style="1" customWidth="1"/>
    <col min="15" max="20" width="10.75" style="1" customWidth="1"/>
    <col min="21" max="28" width="7.625" style="1" customWidth="1"/>
    <col min="29" max="258" width="11.375" style="1"/>
    <col min="259" max="259" width="12.5" style="1" customWidth="1"/>
    <col min="260" max="260" width="19.125" style="1" customWidth="1"/>
    <col min="261" max="265" width="10.75" style="1" customWidth="1"/>
    <col min="266" max="266" width="134.375" style="1" customWidth="1"/>
    <col min="267" max="268" width="10.75" style="1" hidden="1" customWidth="1"/>
    <col min="269" max="276" width="10.75" style="1" customWidth="1"/>
    <col min="277" max="284" width="7.625" style="1" customWidth="1"/>
    <col min="285" max="514" width="11.375" style="1"/>
    <col min="515" max="515" width="12.5" style="1" customWidth="1"/>
    <col min="516" max="516" width="19.125" style="1" customWidth="1"/>
    <col min="517" max="521" width="10.75" style="1" customWidth="1"/>
    <col min="522" max="522" width="134.375" style="1" customWidth="1"/>
    <col min="523" max="524" width="10.75" style="1" hidden="1" customWidth="1"/>
    <col min="525" max="532" width="10.75" style="1" customWidth="1"/>
    <col min="533" max="540" width="7.625" style="1" customWidth="1"/>
    <col min="541" max="770" width="11.375" style="1"/>
    <col min="771" max="771" width="12.5" style="1" customWidth="1"/>
    <col min="772" max="772" width="19.125" style="1" customWidth="1"/>
    <col min="773" max="777" width="10.75" style="1" customWidth="1"/>
    <col min="778" max="778" width="134.375" style="1" customWidth="1"/>
    <col min="779" max="780" width="10.75" style="1" hidden="1" customWidth="1"/>
    <col min="781" max="788" width="10.75" style="1" customWidth="1"/>
    <col min="789" max="796" width="7.625" style="1" customWidth="1"/>
    <col min="797" max="1026" width="11.375" style="1"/>
    <col min="1027" max="1027" width="12.5" style="1" customWidth="1"/>
    <col min="1028" max="1028" width="19.125" style="1" customWidth="1"/>
    <col min="1029" max="1033" width="10.75" style="1" customWidth="1"/>
    <col min="1034" max="1034" width="134.375" style="1" customWidth="1"/>
    <col min="1035" max="1036" width="10.75" style="1" hidden="1" customWidth="1"/>
    <col min="1037" max="1044" width="10.75" style="1" customWidth="1"/>
    <col min="1045" max="1052" width="7.625" style="1" customWidth="1"/>
    <col min="1053" max="1282" width="11.375" style="1"/>
    <col min="1283" max="1283" width="12.5" style="1" customWidth="1"/>
    <col min="1284" max="1284" width="19.125" style="1" customWidth="1"/>
    <col min="1285" max="1289" width="10.75" style="1" customWidth="1"/>
    <col min="1290" max="1290" width="134.375" style="1" customWidth="1"/>
    <col min="1291" max="1292" width="10.75" style="1" hidden="1" customWidth="1"/>
    <col min="1293" max="1300" width="10.75" style="1" customWidth="1"/>
    <col min="1301" max="1308" width="7.625" style="1" customWidth="1"/>
    <col min="1309" max="1538" width="11.375" style="1"/>
    <col min="1539" max="1539" width="12.5" style="1" customWidth="1"/>
    <col min="1540" max="1540" width="19.125" style="1" customWidth="1"/>
    <col min="1541" max="1545" width="10.75" style="1" customWidth="1"/>
    <col min="1546" max="1546" width="134.375" style="1" customWidth="1"/>
    <col min="1547" max="1548" width="10.75" style="1" hidden="1" customWidth="1"/>
    <col min="1549" max="1556" width="10.75" style="1" customWidth="1"/>
    <col min="1557" max="1564" width="7.625" style="1" customWidth="1"/>
    <col min="1565" max="1794" width="11.375" style="1"/>
    <col min="1795" max="1795" width="12.5" style="1" customWidth="1"/>
    <col min="1796" max="1796" width="19.125" style="1" customWidth="1"/>
    <col min="1797" max="1801" width="10.75" style="1" customWidth="1"/>
    <col min="1802" max="1802" width="134.375" style="1" customWidth="1"/>
    <col min="1803" max="1804" width="10.75" style="1" hidden="1" customWidth="1"/>
    <col min="1805" max="1812" width="10.75" style="1" customWidth="1"/>
    <col min="1813" max="1820" width="7.625" style="1" customWidth="1"/>
    <col min="1821" max="2050" width="11.375" style="1"/>
    <col min="2051" max="2051" width="12.5" style="1" customWidth="1"/>
    <col min="2052" max="2052" width="19.125" style="1" customWidth="1"/>
    <col min="2053" max="2057" width="10.75" style="1" customWidth="1"/>
    <col min="2058" max="2058" width="134.375" style="1" customWidth="1"/>
    <col min="2059" max="2060" width="10.75" style="1" hidden="1" customWidth="1"/>
    <col min="2061" max="2068" width="10.75" style="1" customWidth="1"/>
    <col min="2069" max="2076" width="7.625" style="1" customWidth="1"/>
    <col min="2077" max="2306" width="11.375" style="1"/>
    <col min="2307" max="2307" width="12.5" style="1" customWidth="1"/>
    <col min="2308" max="2308" width="19.125" style="1" customWidth="1"/>
    <col min="2309" max="2313" width="10.75" style="1" customWidth="1"/>
    <col min="2314" max="2314" width="134.375" style="1" customWidth="1"/>
    <col min="2315" max="2316" width="10.75" style="1" hidden="1" customWidth="1"/>
    <col min="2317" max="2324" width="10.75" style="1" customWidth="1"/>
    <col min="2325" max="2332" width="7.625" style="1" customWidth="1"/>
    <col min="2333" max="2562" width="11.375" style="1"/>
    <col min="2563" max="2563" width="12.5" style="1" customWidth="1"/>
    <col min="2564" max="2564" width="19.125" style="1" customWidth="1"/>
    <col min="2565" max="2569" width="10.75" style="1" customWidth="1"/>
    <col min="2570" max="2570" width="134.375" style="1" customWidth="1"/>
    <col min="2571" max="2572" width="10.75" style="1" hidden="1" customWidth="1"/>
    <col min="2573" max="2580" width="10.75" style="1" customWidth="1"/>
    <col min="2581" max="2588" width="7.625" style="1" customWidth="1"/>
    <col min="2589" max="2818" width="11.375" style="1"/>
    <col min="2819" max="2819" width="12.5" style="1" customWidth="1"/>
    <col min="2820" max="2820" width="19.125" style="1" customWidth="1"/>
    <col min="2821" max="2825" width="10.75" style="1" customWidth="1"/>
    <col min="2826" max="2826" width="134.375" style="1" customWidth="1"/>
    <col min="2827" max="2828" width="10.75" style="1" hidden="1" customWidth="1"/>
    <col min="2829" max="2836" width="10.75" style="1" customWidth="1"/>
    <col min="2837" max="2844" width="7.625" style="1" customWidth="1"/>
    <col min="2845" max="3074" width="11.375" style="1"/>
    <col min="3075" max="3075" width="12.5" style="1" customWidth="1"/>
    <col min="3076" max="3076" width="19.125" style="1" customWidth="1"/>
    <col min="3077" max="3081" width="10.75" style="1" customWidth="1"/>
    <col min="3082" max="3082" width="134.375" style="1" customWidth="1"/>
    <col min="3083" max="3084" width="10.75" style="1" hidden="1" customWidth="1"/>
    <col min="3085" max="3092" width="10.75" style="1" customWidth="1"/>
    <col min="3093" max="3100" width="7.625" style="1" customWidth="1"/>
    <col min="3101" max="3330" width="11.375" style="1"/>
    <col min="3331" max="3331" width="12.5" style="1" customWidth="1"/>
    <col min="3332" max="3332" width="19.125" style="1" customWidth="1"/>
    <col min="3333" max="3337" width="10.75" style="1" customWidth="1"/>
    <col min="3338" max="3338" width="134.375" style="1" customWidth="1"/>
    <col min="3339" max="3340" width="10.75" style="1" hidden="1" customWidth="1"/>
    <col min="3341" max="3348" width="10.75" style="1" customWidth="1"/>
    <col min="3349" max="3356" width="7.625" style="1" customWidth="1"/>
    <col min="3357" max="3586" width="11.375" style="1"/>
    <col min="3587" max="3587" width="12.5" style="1" customWidth="1"/>
    <col min="3588" max="3588" width="19.125" style="1" customWidth="1"/>
    <col min="3589" max="3593" width="10.75" style="1" customWidth="1"/>
    <col min="3594" max="3594" width="134.375" style="1" customWidth="1"/>
    <col min="3595" max="3596" width="10.75" style="1" hidden="1" customWidth="1"/>
    <col min="3597" max="3604" width="10.75" style="1" customWidth="1"/>
    <col min="3605" max="3612" width="7.625" style="1" customWidth="1"/>
    <col min="3613" max="3842" width="11.375" style="1"/>
    <col min="3843" max="3843" width="12.5" style="1" customWidth="1"/>
    <col min="3844" max="3844" width="19.125" style="1" customWidth="1"/>
    <col min="3845" max="3849" width="10.75" style="1" customWidth="1"/>
    <col min="3850" max="3850" width="134.375" style="1" customWidth="1"/>
    <col min="3851" max="3852" width="10.75" style="1" hidden="1" customWidth="1"/>
    <col min="3853" max="3860" width="10.75" style="1" customWidth="1"/>
    <col min="3861" max="3868" width="7.625" style="1" customWidth="1"/>
    <col min="3869" max="4098" width="11.375" style="1"/>
    <col min="4099" max="4099" width="12.5" style="1" customWidth="1"/>
    <col min="4100" max="4100" width="19.125" style="1" customWidth="1"/>
    <col min="4101" max="4105" width="10.75" style="1" customWidth="1"/>
    <col min="4106" max="4106" width="134.375" style="1" customWidth="1"/>
    <col min="4107" max="4108" width="10.75" style="1" hidden="1" customWidth="1"/>
    <col min="4109" max="4116" width="10.75" style="1" customWidth="1"/>
    <col min="4117" max="4124" width="7.625" style="1" customWidth="1"/>
    <col min="4125" max="4354" width="11.375" style="1"/>
    <col min="4355" max="4355" width="12.5" style="1" customWidth="1"/>
    <col min="4356" max="4356" width="19.125" style="1" customWidth="1"/>
    <col min="4357" max="4361" width="10.75" style="1" customWidth="1"/>
    <col min="4362" max="4362" width="134.375" style="1" customWidth="1"/>
    <col min="4363" max="4364" width="10.75" style="1" hidden="1" customWidth="1"/>
    <col min="4365" max="4372" width="10.75" style="1" customWidth="1"/>
    <col min="4373" max="4380" width="7.625" style="1" customWidth="1"/>
    <col min="4381" max="4610" width="11.375" style="1"/>
    <col min="4611" max="4611" width="12.5" style="1" customWidth="1"/>
    <col min="4612" max="4612" width="19.125" style="1" customWidth="1"/>
    <col min="4613" max="4617" width="10.75" style="1" customWidth="1"/>
    <col min="4618" max="4618" width="134.375" style="1" customWidth="1"/>
    <col min="4619" max="4620" width="10.75" style="1" hidden="1" customWidth="1"/>
    <col min="4621" max="4628" width="10.75" style="1" customWidth="1"/>
    <col min="4629" max="4636" width="7.625" style="1" customWidth="1"/>
    <col min="4637" max="4866" width="11.375" style="1"/>
    <col min="4867" max="4867" width="12.5" style="1" customWidth="1"/>
    <col min="4868" max="4868" width="19.125" style="1" customWidth="1"/>
    <col min="4869" max="4873" width="10.75" style="1" customWidth="1"/>
    <col min="4874" max="4874" width="134.375" style="1" customWidth="1"/>
    <col min="4875" max="4876" width="10.75" style="1" hidden="1" customWidth="1"/>
    <col min="4877" max="4884" width="10.75" style="1" customWidth="1"/>
    <col min="4885" max="4892" width="7.625" style="1" customWidth="1"/>
    <col min="4893" max="5122" width="11.375" style="1"/>
    <col min="5123" max="5123" width="12.5" style="1" customWidth="1"/>
    <col min="5124" max="5124" width="19.125" style="1" customWidth="1"/>
    <col min="5125" max="5129" width="10.75" style="1" customWidth="1"/>
    <col min="5130" max="5130" width="134.375" style="1" customWidth="1"/>
    <col min="5131" max="5132" width="10.75" style="1" hidden="1" customWidth="1"/>
    <col min="5133" max="5140" width="10.75" style="1" customWidth="1"/>
    <col min="5141" max="5148" width="7.625" style="1" customWidth="1"/>
    <col min="5149" max="5378" width="11.375" style="1"/>
    <col min="5379" max="5379" width="12.5" style="1" customWidth="1"/>
    <col min="5380" max="5380" width="19.125" style="1" customWidth="1"/>
    <col min="5381" max="5385" width="10.75" style="1" customWidth="1"/>
    <col min="5386" max="5386" width="134.375" style="1" customWidth="1"/>
    <col min="5387" max="5388" width="10.75" style="1" hidden="1" customWidth="1"/>
    <col min="5389" max="5396" width="10.75" style="1" customWidth="1"/>
    <col min="5397" max="5404" width="7.625" style="1" customWidth="1"/>
    <col min="5405" max="5634" width="11.375" style="1"/>
    <col min="5635" max="5635" width="12.5" style="1" customWidth="1"/>
    <col min="5636" max="5636" width="19.125" style="1" customWidth="1"/>
    <col min="5637" max="5641" width="10.75" style="1" customWidth="1"/>
    <col min="5642" max="5642" width="134.375" style="1" customWidth="1"/>
    <col min="5643" max="5644" width="10.75" style="1" hidden="1" customWidth="1"/>
    <col min="5645" max="5652" width="10.75" style="1" customWidth="1"/>
    <col min="5653" max="5660" width="7.625" style="1" customWidth="1"/>
    <col min="5661" max="5890" width="11.375" style="1"/>
    <col min="5891" max="5891" width="12.5" style="1" customWidth="1"/>
    <col min="5892" max="5892" width="19.125" style="1" customWidth="1"/>
    <col min="5893" max="5897" width="10.75" style="1" customWidth="1"/>
    <col min="5898" max="5898" width="134.375" style="1" customWidth="1"/>
    <col min="5899" max="5900" width="10.75" style="1" hidden="1" customWidth="1"/>
    <col min="5901" max="5908" width="10.75" style="1" customWidth="1"/>
    <col min="5909" max="5916" width="7.625" style="1" customWidth="1"/>
    <col min="5917" max="6146" width="11.375" style="1"/>
    <col min="6147" max="6147" width="12.5" style="1" customWidth="1"/>
    <col min="6148" max="6148" width="19.125" style="1" customWidth="1"/>
    <col min="6149" max="6153" width="10.75" style="1" customWidth="1"/>
    <col min="6154" max="6154" width="134.375" style="1" customWidth="1"/>
    <col min="6155" max="6156" width="10.75" style="1" hidden="1" customWidth="1"/>
    <col min="6157" max="6164" width="10.75" style="1" customWidth="1"/>
    <col min="6165" max="6172" width="7.625" style="1" customWidth="1"/>
    <col min="6173" max="6402" width="11.375" style="1"/>
    <col min="6403" max="6403" width="12.5" style="1" customWidth="1"/>
    <col min="6404" max="6404" width="19.125" style="1" customWidth="1"/>
    <col min="6405" max="6409" width="10.75" style="1" customWidth="1"/>
    <col min="6410" max="6410" width="134.375" style="1" customWidth="1"/>
    <col min="6411" max="6412" width="10.75" style="1" hidden="1" customWidth="1"/>
    <col min="6413" max="6420" width="10.75" style="1" customWidth="1"/>
    <col min="6421" max="6428" width="7.625" style="1" customWidth="1"/>
    <col min="6429" max="6658" width="11.375" style="1"/>
    <col min="6659" max="6659" width="12.5" style="1" customWidth="1"/>
    <col min="6660" max="6660" width="19.125" style="1" customWidth="1"/>
    <col min="6661" max="6665" width="10.75" style="1" customWidth="1"/>
    <col min="6666" max="6666" width="134.375" style="1" customWidth="1"/>
    <col min="6667" max="6668" width="10.75" style="1" hidden="1" customWidth="1"/>
    <col min="6669" max="6676" width="10.75" style="1" customWidth="1"/>
    <col min="6677" max="6684" width="7.625" style="1" customWidth="1"/>
    <col min="6685" max="6914" width="11.375" style="1"/>
    <col min="6915" max="6915" width="12.5" style="1" customWidth="1"/>
    <col min="6916" max="6916" width="19.125" style="1" customWidth="1"/>
    <col min="6917" max="6921" width="10.75" style="1" customWidth="1"/>
    <col min="6922" max="6922" width="134.375" style="1" customWidth="1"/>
    <col min="6923" max="6924" width="10.75" style="1" hidden="1" customWidth="1"/>
    <col min="6925" max="6932" width="10.75" style="1" customWidth="1"/>
    <col min="6933" max="6940" width="7.625" style="1" customWidth="1"/>
    <col min="6941" max="7170" width="11.375" style="1"/>
    <col min="7171" max="7171" width="12.5" style="1" customWidth="1"/>
    <col min="7172" max="7172" width="19.125" style="1" customWidth="1"/>
    <col min="7173" max="7177" width="10.75" style="1" customWidth="1"/>
    <col min="7178" max="7178" width="134.375" style="1" customWidth="1"/>
    <col min="7179" max="7180" width="10.75" style="1" hidden="1" customWidth="1"/>
    <col min="7181" max="7188" width="10.75" style="1" customWidth="1"/>
    <col min="7189" max="7196" width="7.625" style="1" customWidth="1"/>
    <col min="7197" max="7426" width="11.375" style="1"/>
    <col min="7427" max="7427" width="12.5" style="1" customWidth="1"/>
    <col min="7428" max="7428" width="19.125" style="1" customWidth="1"/>
    <col min="7429" max="7433" width="10.75" style="1" customWidth="1"/>
    <col min="7434" max="7434" width="134.375" style="1" customWidth="1"/>
    <col min="7435" max="7436" width="10.75" style="1" hidden="1" customWidth="1"/>
    <col min="7437" max="7444" width="10.75" style="1" customWidth="1"/>
    <col min="7445" max="7452" width="7.625" style="1" customWidth="1"/>
    <col min="7453" max="7682" width="11.375" style="1"/>
    <col min="7683" max="7683" width="12.5" style="1" customWidth="1"/>
    <col min="7684" max="7684" width="19.125" style="1" customWidth="1"/>
    <col min="7685" max="7689" width="10.75" style="1" customWidth="1"/>
    <col min="7690" max="7690" width="134.375" style="1" customWidth="1"/>
    <col min="7691" max="7692" width="10.75" style="1" hidden="1" customWidth="1"/>
    <col min="7693" max="7700" width="10.75" style="1" customWidth="1"/>
    <col min="7701" max="7708" width="7.625" style="1" customWidth="1"/>
    <col min="7709" max="7938" width="11.375" style="1"/>
    <col min="7939" max="7939" width="12.5" style="1" customWidth="1"/>
    <col min="7940" max="7940" width="19.125" style="1" customWidth="1"/>
    <col min="7941" max="7945" width="10.75" style="1" customWidth="1"/>
    <col min="7946" max="7946" width="134.375" style="1" customWidth="1"/>
    <col min="7947" max="7948" width="10.75" style="1" hidden="1" customWidth="1"/>
    <col min="7949" max="7956" width="10.75" style="1" customWidth="1"/>
    <col min="7957" max="7964" width="7.625" style="1" customWidth="1"/>
    <col min="7965" max="8194" width="11.375" style="1"/>
    <col min="8195" max="8195" width="12.5" style="1" customWidth="1"/>
    <col min="8196" max="8196" width="19.125" style="1" customWidth="1"/>
    <col min="8197" max="8201" width="10.75" style="1" customWidth="1"/>
    <col min="8202" max="8202" width="134.375" style="1" customWidth="1"/>
    <col min="8203" max="8204" width="10.75" style="1" hidden="1" customWidth="1"/>
    <col min="8205" max="8212" width="10.75" style="1" customWidth="1"/>
    <col min="8213" max="8220" width="7.625" style="1" customWidth="1"/>
    <col min="8221" max="8450" width="11.375" style="1"/>
    <col min="8451" max="8451" width="12.5" style="1" customWidth="1"/>
    <col min="8452" max="8452" width="19.125" style="1" customWidth="1"/>
    <col min="8453" max="8457" width="10.75" style="1" customWidth="1"/>
    <col min="8458" max="8458" width="134.375" style="1" customWidth="1"/>
    <col min="8459" max="8460" width="10.75" style="1" hidden="1" customWidth="1"/>
    <col min="8461" max="8468" width="10.75" style="1" customWidth="1"/>
    <col min="8469" max="8476" width="7.625" style="1" customWidth="1"/>
    <col min="8477" max="8706" width="11.375" style="1"/>
    <col min="8707" max="8707" width="12.5" style="1" customWidth="1"/>
    <col min="8708" max="8708" width="19.125" style="1" customWidth="1"/>
    <col min="8709" max="8713" width="10.75" style="1" customWidth="1"/>
    <col min="8714" max="8714" width="134.375" style="1" customWidth="1"/>
    <col min="8715" max="8716" width="10.75" style="1" hidden="1" customWidth="1"/>
    <col min="8717" max="8724" width="10.75" style="1" customWidth="1"/>
    <col min="8725" max="8732" width="7.625" style="1" customWidth="1"/>
    <col min="8733" max="8962" width="11.375" style="1"/>
    <col min="8963" max="8963" width="12.5" style="1" customWidth="1"/>
    <col min="8964" max="8964" width="19.125" style="1" customWidth="1"/>
    <col min="8965" max="8969" width="10.75" style="1" customWidth="1"/>
    <col min="8970" max="8970" width="134.375" style="1" customWidth="1"/>
    <col min="8971" max="8972" width="10.75" style="1" hidden="1" customWidth="1"/>
    <col min="8973" max="8980" width="10.75" style="1" customWidth="1"/>
    <col min="8981" max="8988" width="7.625" style="1" customWidth="1"/>
    <col min="8989" max="9218" width="11.375" style="1"/>
    <col min="9219" max="9219" width="12.5" style="1" customWidth="1"/>
    <col min="9220" max="9220" width="19.125" style="1" customWidth="1"/>
    <col min="9221" max="9225" width="10.75" style="1" customWidth="1"/>
    <col min="9226" max="9226" width="134.375" style="1" customWidth="1"/>
    <col min="9227" max="9228" width="10.75" style="1" hidden="1" customWidth="1"/>
    <col min="9229" max="9236" width="10.75" style="1" customWidth="1"/>
    <col min="9237" max="9244" width="7.625" style="1" customWidth="1"/>
    <col min="9245" max="9474" width="11.375" style="1"/>
    <col min="9475" max="9475" width="12.5" style="1" customWidth="1"/>
    <col min="9476" max="9476" width="19.125" style="1" customWidth="1"/>
    <col min="9477" max="9481" width="10.75" style="1" customWidth="1"/>
    <col min="9482" max="9482" width="134.375" style="1" customWidth="1"/>
    <col min="9483" max="9484" width="10.75" style="1" hidden="1" customWidth="1"/>
    <col min="9485" max="9492" width="10.75" style="1" customWidth="1"/>
    <col min="9493" max="9500" width="7.625" style="1" customWidth="1"/>
    <col min="9501" max="9730" width="11.375" style="1"/>
    <col min="9731" max="9731" width="12.5" style="1" customWidth="1"/>
    <col min="9732" max="9732" width="19.125" style="1" customWidth="1"/>
    <col min="9733" max="9737" width="10.75" style="1" customWidth="1"/>
    <col min="9738" max="9738" width="134.375" style="1" customWidth="1"/>
    <col min="9739" max="9740" width="10.75" style="1" hidden="1" customWidth="1"/>
    <col min="9741" max="9748" width="10.75" style="1" customWidth="1"/>
    <col min="9749" max="9756" width="7.625" style="1" customWidth="1"/>
    <col min="9757" max="9986" width="11.375" style="1"/>
    <col min="9987" max="9987" width="12.5" style="1" customWidth="1"/>
    <col min="9988" max="9988" width="19.125" style="1" customWidth="1"/>
    <col min="9989" max="9993" width="10.75" style="1" customWidth="1"/>
    <col min="9994" max="9994" width="134.375" style="1" customWidth="1"/>
    <col min="9995" max="9996" width="10.75" style="1" hidden="1" customWidth="1"/>
    <col min="9997" max="10004" width="10.75" style="1" customWidth="1"/>
    <col min="10005" max="10012" width="7.625" style="1" customWidth="1"/>
    <col min="10013" max="10242" width="11.375" style="1"/>
    <col min="10243" max="10243" width="12.5" style="1" customWidth="1"/>
    <col min="10244" max="10244" width="19.125" style="1" customWidth="1"/>
    <col min="10245" max="10249" width="10.75" style="1" customWidth="1"/>
    <col min="10250" max="10250" width="134.375" style="1" customWidth="1"/>
    <col min="10251" max="10252" width="10.75" style="1" hidden="1" customWidth="1"/>
    <col min="10253" max="10260" width="10.75" style="1" customWidth="1"/>
    <col min="10261" max="10268" width="7.625" style="1" customWidth="1"/>
    <col min="10269" max="10498" width="11.375" style="1"/>
    <col min="10499" max="10499" width="12.5" style="1" customWidth="1"/>
    <col min="10500" max="10500" width="19.125" style="1" customWidth="1"/>
    <col min="10501" max="10505" width="10.75" style="1" customWidth="1"/>
    <col min="10506" max="10506" width="134.375" style="1" customWidth="1"/>
    <col min="10507" max="10508" width="10.75" style="1" hidden="1" customWidth="1"/>
    <col min="10509" max="10516" width="10.75" style="1" customWidth="1"/>
    <col min="10517" max="10524" width="7.625" style="1" customWidth="1"/>
    <col min="10525" max="10754" width="11.375" style="1"/>
    <col min="10755" max="10755" width="12.5" style="1" customWidth="1"/>
    <col min="10756" max="10756" width="19.125" style="1" customWidth="1"/>
    <col min="10757" max="10761" width="10.75" style="1" customWidth="1"/>
    <col min="10762" max="10762" width="134.375" style="1" customWidth="1"/>
    <col min="10763" max="10764" width="10.75" style="1" hidden="1" customWidth="1"/>
    <col min="10765" max="10772" width="10.75" style="1" customWidth="1"/>
    <col min="10773" max="10780" width="7.625" style="1" customWidth="1"/>
    <col min="10781" max="11010" width="11.375" style="1"/>
    <col min="11011" max="11011" width="12.5" style="1" customWidth="1"/>
    <col min="11012" max="11012" width="19.125" style="1" customWidth="1"/>
    <col min="11013" max="11017" width="10.75" style="1" customWidth="1"/>
    <col min="11018" max="11018" width="134.375" style="1" customWidth="1"/>
    <col min="11019" max="11020" width="10.75" style="1" hidden="1" customWidth="1"/>
    <col min="11021" max="11028" width="10.75" style="1" customWidth="1"/>
    <col min="11029" max="11036" width="7.625" style="1" customWidth="1"/>
    <col min="11037" max="11266" width="11.375" style="1"/>
    <col min="11267" max="11267" width="12.5" style="1" customWidth="1"/>
    <col min="11268" max="11268" width="19.125" style="1" customWidth="1"/>
    <col min="11269" max="11273" width="10.75" style="1" customWidth="1"/>
    <col min="11274" max="11274" width="134.375" style="1" customWidth="1"/>
    <col min="11275" max="11276" width="10.75" style="1" hidden="1" customWidth="1"/>
    <col min="11277" max="11284" width="10.75" style="1" customWidth="1"/>
    <col min="11285" max="11292" width="7.625" style="1" customWidth="1"/>
    <col min="11293" max="11522" width="11.375" style="1"/>
    <col min="11523" max="11523" width="12.5" style="1" customWidth="1"/>
    <col min="11524" max="11524" width="19.125" style="1" customWidth="1"/>
    <col min="11525" max="11529" width="10.75" style="1" customWidth="1"/>
    <col min="11530" max="11530" width="134.375" style="1" customWidth="1"/>
    <col min="11531" max="11532" width="10.75" style="1" hidden="1" customWidth="1"/>
    <col min="11533" max="11540" width="10.75" style="1" customWidth="1"/>
    <col min="11541" max="11548" width="7.625" style="1" customWidth="1"/>
    <col min="11549" max="11778" width="11.375" style="1"/>
    <col min="11779" max="11779" width="12.5" style="1" customWidth="1"/>
    <col min="11780" max="11780" width="19.125" style="1" customWidth="1"/>
    <col min="11781" max="11785" width="10.75" style="1" customWidth="1"/>
    <col min="11786" max="11786" width="134.375" style="1" customWidth="1"/>
    <col min="11787" max="11788" width="10.75" style="1" hidden="1" customWidth="1"/>
    <col min="11789" max="11796" width="10.75" style="1" customWidth="1"/>
    <col min="11797" max="11804" width="7.625" style="1" customWidth="1"/>
    <col min="11805" max="12034" width="11.375" style="1"/>
    <col min="12035" max="12035" width="12.5" style="1" customWidth="1"/>
    <col min="12036" max="12036" width="19.125" style="1" customWidth="1"/>
    <col min="12037" max="12041" width="10.75" style="1" customWidth="1"/>
    <col min="12042" max="12042" width="134.375" style="1" customWidth="1"/>
    <col min="12043" max="12044" width="10.75" style="1" hidden="1" customWidth="1"/>
    <col min="12045" max="12052" width="10.75" style="1" customWidth="1"/>
    <col min="12053" max="12060" width="7.625" style="1" customWidth="1"/>
    <col min="12061" max="12290" width="11.375" style="1"/>
    <col min="12291" max="12291" width="12.5" style="1" customWidth="1"/>
    <col min="12292" max="12292" width="19.125" style="1" customWidth="1"/>
    <col min="12293" max="12297" width="10.75" style="1" customWidth="1"/>
    <col min="12298" max="12298" width="134.375" style="1" customWidth="1"/>
    <col min="12299" max="12300" width="10.75" style="1" hidden="1" customWidth="1"/>
    <col min="12301" max="12308" width="10.75" style="1" customWidth="1"/>
    <col min="12309" max="12316" width="7.625" style="1" customWidth="1"/>
    <col min="12317" max="12546" width="11.375" style="1"/>
    <col min="12547" max="12547" width="12.5" style="1" customWidth="1"/>
    <col min="12548" max="12548" width="19.125" style="1" customWidth="1"/>
    <col min="12549" max="12553" width="10.75" style="1" customWidth="1"/>
    <col min="12554" max="12554" width="134.375" style="1" customWidth="1"/>
    <col min="12555" max="12556" width="10.75" style="1" hidden="1" customWidth="1"/>
    <col min="12557" max="12564" width="10.75" style="1" customWidth="1"/>
    <col min="12565" max="12572" width="7.625" style="1" customWidth="1"/>
    <col min="12573" max="12802" width="11.375" style="1"/>
    <col min="12803" max="12803" width="12.5" style="1" customWidth="1"/>
    <col min="12804" max="12804" width="19.125" style="1" customWidth="1"/>
    <col min="12805" max="12809" width="10.75" style="1" customWidth="1"/>
    <col min="12810" max="12810" width="134.375" style="1" customWidth="1"/>
    <col min="12811" max="12812" width="10.75" style="1" hidden="1" customWidth="1"/>
    <col min="12813" max="12820" width="10.75" style="1" customWidth="1"/>
    <col min="12821" max="12828" width="7.625" style="1" customWidth="1"/>
    <col min="12829" max="13058" width="11.375" style="1"/>
    <col min="13059" max="13059" width="12.5" style="1" customWidth="1"/>
    <col min="13060" max="13060" width="19.125" style="1" customWidth="1"/>
    <col min="13061" max="13065" width="10.75" style="1" customWidth="1"/>
    <col min="13066" max="13066" width="134.375" style="1" customWidth="1"/>
    <col min="13067" max="13068" width="10.75" style="1" hidden="1" customWidth="1"/>
    <col min="13069" max="13076" width="10.75" style="1" customWidth="1"/>
    <col min="13077" max="13084" width="7.625" style="1" customWidth="1"/>
    <col min="13085" max="13314" width="11.375" style="1"/>
    <col min="13315" max="13315" width="12.5" style="1" customWidth="1"/>
    <col min="13316" max="13316" width="19.125" style="1" customWidth="1"/>
    <col min="13317" max="13321" width="10.75" style="1" customWidth="1"/>
    <col min="13322" max="13322" width="134.375" style="1" customWidth="1"/>
    <col min="13323" max="13324" width="10.75" style="1" hidden="1" customWidth="1"/>
    <col min="13325" max="13332" width="10.75" style="1" customWidth="1"/>
    <col min="13333" max="13340" width="7.625" style="1" customWidth="1"/>
    <col min="13341" max="13570" width="11.375" style="1"/>
    <col min="13571" max="13571" width="12.5" style="1" customWidth="1"/>
    <col min="13572" max="13572" width="19.125" style="1" customWidth="1"/>
    <col min="13573" max="13577" width="10.75" style="1" customWidth="1"/>
    <col min="13578" max="13578" width="134.375" style="1" customWidth="1"/>
    <col min="13579" max="13580" width="10.75" style="1" hidden="1" customWidth="1"/>
    <col min="13581" max="13588" width="10.75" style="1" customWidth="1"/>
    <col min="13589" max="13596" width="7.625" style="1" customWidth="1"/>
    <col min="13597" max="13826" width="11.375" style="1"/>
    <col min="13827" max="13827" width="12.5" style="1" customWidth="1"/>
    <col min="13828" max="13828" width="19.125" style="1" customWidth="1"/>
    <col min="13829" max="13833" width="10.75" style="1" customWidth="1"/>
    <col min="13834" max="13834" width="134.375" style="1" customWidth="1"/>
    <col min="13835" max="13836" width="10.75" style="1" hidden="1" customWidth="1"/>
    <col min="13837" max="13844" width="10.75" style="1" customWidth="1"/>
    <col min="13845" max="13852" width="7.625" style="1" customWidth="1"/>
    <col min="13853" max="14082" width="11.375" style="1"/>
    <col min="14083" max="14083" width="12.5" style="1" customWidth="1"/>
    <col min="14084" max="14084" width="19.125" style="1" customWidth="1"/>
    <col min="14085" max="14089" width="10.75" style="1" customWidth="1"/>
    <col min="14090" max="14090" width="134.375" style="1" customWidth="1"/>
    <col min="14091" max="14092" width="10.75" style="1" hidden="1" customWidth="1"/>
    <col min="14093" max="14100" width="10.75" style="1" customWidth="1"/>
    <col min="14101" max="14108" width="7.625" style="1" customWidth="1"/>
    <col min="14109" max="14338" width="11.375" style="1"/>
    <col min="14339" max="14339" width="12.5" style="1" customWidth="1"/>
    <col min="14340" max="14340" width="19.125" style="1" customWidth="1"/>
    <col min="14341" max="14345" width="10.75" style="1" customWidth="1"/>
    <col min="14346" max="14346" width="134.375" style="1" customWidth="1"/>
    <col min="14347" max="14348" width="10.75" style="1" hidden="1" customWidth="1"/>
    <col min="14349" max="14356" width="10.75" style="1" customWidth="1"/>
    <col min="14357" max="14364" width="7.625" style="1" customWidth="1"/>
    <col min="14365" max="14594" width="11.375" style="1"/>
    <col min="14595" max="14595" width="12.5" style="1" customWidth="1"/>
    <col min="14596" max="14596" width="19.125" style="1" customWidth="1"/>
    <col min="14597" max="14601" width="10.75" style="1" customWidth="1"/>
    <col min="14602" max="14602" width="134.375" style="1" customWidth="1"/>
    <col min="14603" max="14604" width="10.75" style="1" hidden="1" customWidth="1"/>
    <col min="14605" max="14612" width="10.75" style="1" customWidth="1"/>
    <col min="14613" max="14620" width="7.625" style="1" customWidth="1"/>
    <col min="14621" max="14850" width="11.375" style="1"/>
    <col min="14851" max="14851" width="12.5" style="1" customWidth="1"/>
    <col min="14852" max="14852" width="19.125" style="1" customWidth="1"/>
    <col min="14853" max="14857" width="10.75" style="1" customWidth="1"/>
    <col min="14858" max="14858" width="134.375" style="1" customWidth="1"/>
    <col min="14859" max="14860" width="10.75" style="1" hidden="1" customWidth="1"/>
    <col min="14861" max="14868" width="10.75" style="1" customWidth="1"/>
    <col min="14869" max="14876" width="7.625" style="1" customWidth="1"/>
    <col min="14877" max="15106" width="11.375" style="1"/>
    <col min="15107" max="15107" width="12.5" style="1" customWidth="1"/>
    <col min="15108" max="15108" width="19.125" style="1" customWidth="1"/>
    <col min="15109" max="15113" width="10.75" style="1" customWidth="1"/>
    <col min="15114" max="15114" width="134.375" style="1" customWidth="1"/>
    <col min="15115" max="15116" width="10.75" style="1" hidden="1" customWidth="1"/>
    <col min="15117" max="15124" width="10.75" style="1" customWidth="1"/>
    <col min="15125" max="15132" width="7.625" style="1" customWidth="1"/>
    <col min="15133" max="15362" width="11.375" style="1"/>
    <col min="15363" max="15363" width="12.5" style="1" customWidth="1"/>
    <col min="15364" max="15364" width="19.125" style="1" customWidth="1"/>
    <col min="15365" max="15369" width="10.75" style="1" customWidth="1"/>
    <col min="15370" max="15370" width="134.375" style="1" customWidth="1"/>
    <col min="15371" max="15372" width="10.75" style="1" hidden="1" customWidth="1"/>
    <col min="15373" max="15380" width="10.75" style="1" customWidth="1"/>
    <col min="15381" max="15388" width="7.625" style="1" customWidth="1"/>
    <col min="15389" max="15618" width="11.375" style="1"/>
    <col min="15619" max="15619" width="12.5" style="1" customWidth="1"/>
    <col min="15620" max="15620" width="19.125" style="1" customWidth="1"/>
    <col min="15621" max="15625" width="10.75" style="1" customWidth="1"/>
    <col min="15626" max="15626" width="134.375" style="1" customWidth="1"/>
    <col min="15627" max="15628" width="10.75" style="1" hidden="1" customWidth="1"/>
    <col min="15629" max="15636" width="10.75" style="1" customWidth="1"/>
    <col min="15637" max="15644" width="7.625" style="1" customWidth="1"/>
    <col min="15645" max="15874" width="11.375" style="1"/>
    <col min="15875" max="15875" width="12.5" style="1" customWidth="1"/>
    <col min="15876" max="15876" width="19.125" style="1" customWidth="1"/>
    <col min="15877" max="15881" width="10.75" style="1" customWidth="1"/>
    <col min="15882" max="15882" width="134.375" style="1" customWidth="1"/>
    <col min="15883" max="15884" width="10.75" style="1" hidden="1" customWidth="1"/>
    <col min="15885" max="15892" width="10.75" style="1" customWidth="1"/>
    <col min="15893" max="15900" width="7.625" style="1" customWidth="1"/>
    <col min="15901" max="16130" width="11.375" style="1"/>
    <col min="16131" max="16131" width="12.5" style="1" customWidth="1"/>
    <col min="16132" max="16132" width="19.125" style="1" customWidth="1"/>
    <col min="16133" max="16137" width="10.75" style="1" customWidth="1"/>
    <col min="16138" max="16138" width="134.375" style="1" customWidth="1"/>
    <col min="16139" max="16140" width="10.75" style="1" hidden="1" customWidth="1"/>
    <col min="16141" max="16148" width="10.75" style="1" customWidth="1"/>
    <col min="16149" max="16156" width="7.625" style="1" customWidth="1"/>
    <col min="16157" max="16384" width="11.375" style="1"/>
  </cols>
  <sheetData>
    <row r="1" spans="1:21" ht="26.25" thickBot="1" x14ac:dyDescent="0.2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1"/>
      <c r="K1" s="209" t="s">
        <v>1</v>
      </c>
      <c r="L1" s="109"/>
      <c r="M1" s="109"/>
    </row>
    <row r="2" spans="1:21" ht="3" hidden="1" customHeight="1" x14ac:dyDescent="0.15">
      <c r="A2" s="33"/>
      <c r="B2" s="34"/>
      <c r="C2" s="34"/>
      <c r="D2" s="34"/>
      <c r="E2" s="34"/>
      <c r="F2" s="34"/>
      <c r="G2" s="34"/>
      <c r="H2" s="34"/>
      <c r="I2" s="34"/>
      <c r="J2" s="35"/>
      <c r="K2" s="210"/>
      <c r="L2" s="14"/>
    </row>
    <row r="3" spans="1:21" ht="20.25" thickBot="1" x14ac:dyDescent="0.2">
      <c r="A3" s="36" t="s">
        <v>2</v>
      </c>
      <c r="B3" s="197">
        <v>46196</v>
      </c>
      <c r="C3" s="198"/>
      <c r="D3" s="199"/>
      <c r="E3" s="222" t="s">
        <v>38</v>
      </c>
      <c r="F3" s="223"/>
      <c r="G3" s="223"/>
      <c r="H3" s="223"/>
      <c r="I3" s="223"/>
      <c r="J3" s="224"/>
      <c r="K3" s="71"/>
      <c r="L3" s="15"/>
    </row>
    <row r="4" spans="1:21" ht="15.75" thickBo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16"/>
      <c r="L4" s="16"/>
    </row>
    <row r="5" spans="1:21" ht="18.75" thickBot="1" x14ac:dyDescent="0.2">
      <c r="A5" s="211" t="s">
        <v>3</v>
      </c>
      <c r="B5" s="211" t="s">
        <v>4</v>
      </c>
      <c r="C5" s="212"/>
      <c r="D5" s="225" t="s">
        <v>5</v>
      </c>
      <c r="E5" s="225"/>
      <c r="F5" s="205" t="s">
        <v>6</v>
      </c>
      <c r="G5" s="207" t="s">
        <v>7</v>
      </c>
      <c r="H5" s="215" t="s">
        <v>8</v>
      </c>
      <c r="I5" s="207"/>
      <c r="J5" s="216"/>
      <c r="K5" s="17"/>
      <c r="M5" s="18"/>
    </row>
    <row r="6" spans="1:21" ht="18.75" thickBot="1" x14ac:dyDescent="0.2">
      <c r="A6" s="226"/>
      <c r="B6" s="213"/>
      <c r="C6" s="214"/>
      <c r="D6" s="78" t="s">
        <v>9</v>
      </c>
      <c r="E6" s="76" t="s">
        <v>10</v>
      </c>
      <c r="F6" s="206"/>
      <c r="G6" s="208"/>
      <c r="H6" s="217"/>
      <c r="I6" s="208"/>
      <c r="J6" s="218"/>
      <c r="K6" s="17"/>
    </row>
    <row r="7" spans="1:21" ht="20.25" customHeight="1" thickBot="1" x14ac:dyDescent="0.2">
      <c r="A7" s="112" t="s">
        <v>11</v>
      </c>
      <c r="B7" s="192"/>
      <c r="C7" s="193"/>
      <c r="D7" s="117">
        <v>0</v>
      </c>
      <c r="E7" s="118">
        <v>0</v>
      </c>
      <c r="F7" s="119">
        <v>0</v>
      </c>
      <c r="G7" s="119">
        <v>0</v>
      </c>
      <c r="H7" s="194"/>
      <c r="I7" s="195"/>
      <c r="J7" s="196"/>
      <c r="K7" s="19"/>
    </row>
    <row r="8" spans="1:21" ht="20.25" customHeight="1" thickBot="1" x14ac:dyDescent="0.2">
      <c r="A8" s="113" t="s">
        <v>12</v>
      </c>
      <c r="B8" s="200" t="s">
        <v>39</v>
      </c>
      <c r="C8" s="201"/>
      <c r="D8" s="110">
        <v>31</v>
      </c>
      <c r="E8" s="77">
        <v>75</v>
      </c>
      <c r="F8" s="111">
        <v>1.6402777777777777</v>
      </c>
      <c r="G8" s="111">
        <v>1.942361111111111</v>
      </c>
      <c r="H8" s="202" t="s">
        <v>34</v>
      </c>
      <c r="I8" s="203"/>
      <c r="J8" s="204"/>
      <c r="K8" s="19"/>
      <c r="N8" s="20"/>
      <c r="O8" s="105"/>
      <c r="P8" s="105"/>
      <c r="Q8" s="105"/>
      <c r="R8" s="105"/>
      <c r="S8" s="105"/>
      <c r="T8" s="105"/>
      <c r="U8" s="105"/>
    </row>
    <row r="9" spans="1:21" ht="20.25" customHeight="1" thickBot="1" x14ac:dyDescent="0.2">
      <c r="A9" s="113" t="s">
        <v>13</v>
      </c>
      <c r="B9" s="200" t="s">
        <v>39</v>
      </c>
      <c r="C9" s="201"/>
      <c r="D9" s="110">
        <v>21</v>
      </c>
      <c r="E9" s="77">
        <v>96</v>
      </c>
      <c r="F9" s="111">
        <v>1.6465277777777778</v>
      </c>
      <c r="G9" s="111">
        <v>2.9430555555555555</v>
      </c>
      <c r="H9" s="202" t="s">
        <v>34</v>
      </c>
      <c r="I9" s="203"/>
      <c r="J9" s="204"/>
      <c r="K9" s="19"/>
      <c r="L9" s="21"/>
      <c r="M9" s="108"/>
      <c r="N9" s="108"/>
      <c r="O9" s="105"/>
      <c r="P9" s="105"/>
      <c r="Q9" s="105"/>
      <c r="R9" s="105"/>
      <c r="S9" s="105"/>
      <c r="T9" s="105"/>
      <c r="U9" s="105"/>
    </row>
    <row r="10" spans="1:21" ht="20.25" customHeight="1" thickBot="1" x14ac:dyDescent="0.2">
      <c r="A10" s="114" t="s">
        <v>14</v>
      </c>
      <c r="B10" s="200" t="s">
        <v>36</v>
      </c>
      <c r="C10" s="201"/>
      <c r="D10" s="110">
        <v>0</v>
      </c>
      <c r="E10" s="77">
        <v>45</v>
      </c>
      <c r="F10" s="111">
        <v>1.64375</v>
      </c>
      <c r="G10" s="111">
        <v>2.7993055555555557</v>
      </c>
      <c r="H10" s="202" t="s">
        <v>35</v>
      </c>
      <c r="I10" s="203"/>
      <c r="J10" s="204"/>
      <c r="K10" s="107"/>
      <c r="L10" s="21"/>
      <c r="M10" s="108"/>
      <c r="N10" s="108"/>
      <c r="O10" s="105"/>
      <c r="P10" s="105"/>
      <c r="Q10" s="105"/>
      <c r="R10" s="105"/>
      <c r="S10" s="105"/>
      <c r="T10" s="105"/>
      <c r="U10" s="105"/>
    </row>
    <row r="11" spans="1:21" ht="13.5" customHeight="1" x14ac:dyDescent="0.15">
      <c r="A11" s="185"/>
      <c r="B11" s="185"/>
      <c r="C11" s="185"/>
      <c r="D11" s="186" t="s">
        <v>33</v>
      </c>
      <c r="E11" s="186"/>
      <c r="F11" s="2"/>
      <c r="G11" s="187"/>
      <c r="H11" s="187"/>
      <c r="I11" s="188"/>
      <c r="J11" s="188"/>
      <c r="K11" s="107"/>
      <c r="L11" s="23"/>
      <c r="O11" s="105"/>
      <c r="P11" s="105"/>
      <c r="Q11" s="105"/>
      <c r="R11" s="105"/>
      <c r="S11" s="105"/>
      <c r="T11" s="105"/>
      <c r="U11" s="105"/>
    </row>
    <row r="12" spans="1:21" ht="14.25" customHeight="1" thickBot="1" x14ac:dyDescent="0.2">
      <c r="A12" s="106"/>
      <c r="B12" s="106"/>
      <c r="C12" s="106"/>
      <c r="D12" s="106" t="s">
        <v>19</v>
      </c>
      <c r="E12" s="106"/>
      <c r="F12" s="106"/>
      <c r="G12" s="106"/>
      <c r="H12" s="106"/>
      <c r="I12" s="106"/>
      <c r="J12" s="106"/>
      <c r="K12" s="107"/>
      <c r="L12" s="24"/>
    </row>
    <row r="13" spans="1:21" ht="13.5" hidden="1" customHeight="1" x14ac:dyDescent="0.1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24"/>
    </row>
    <row r="14" spans="1:21" ht="18.75" customHeight="1" thickBot="1" x14ac:dyDescent="0.2">
      <c r="A14" s="149" t="s">
        <v>15</v>
      </c>
      <c r="B14" s="150"/>
      <c r="C14" s="50" t="s">
        <v>11</v>
      </c>
      <c r="D14" s="51" t="s">
        <v>12</v>
      </c>
      <c r="E14" s="50" t="s">
        <v>13</v>
      </c>
      <c r="F14" s="49" t="s">
        <v>14</v>
      </c>
      <c r="G14" s="189" t="s">
        <v>8</v>
      </c>
      <c r="H14" s="190"/>
      <c r="I14" s="190"/>
      <c r="J14" s="191"/>
      <c r="K14" s="9"/>
      <c r="M14" s="21"/>
      <c r="N14" s="25">
        <f>G7-F7+IF(F7&gt;G7,1)</f>
        <v>0</v>
      </c>
      <c r="O14" s="25">
        <f>G8-F8+IF(F8&gt;G8,1)</f>
        <v>0.30208333333333326</v>
      </c>
      <c r="P14" s="25">
        <f>G9-F9+IF(F9&gt;G9,1)</f>
        <v>1.2965277777777777</v>
      </c>
    </row>
    <row r="15" spans="1:21" ht="26.25" thickBot="1" x14ac:dyDescent="0.2">
      <c r="A15" s="177" t="s">
        <v>9</v>
      </c>
      <c r="B15" s="178"/>
      <c r="C15" s="100">
        <f>D7</f>
        <v>0</v>
      </c>
      <c r="D15" s="69">
        <f>D8</f>
        <v>31</v>
      </c>
      <c r="E15" s="68">
        <f>D9</f>
        <v>21</v>
      </c>
      <c r="F15" s="70">
        <f>D10</f>
        <v>0</v>
      </c>
      <c r="G15" s="169" t="s">
        <v>37</v>
      </c>
      <c r="H15" s="170"/>
      <c r="I15" s="170"/>
      <c r="J15" s="171"/>
      <c r="K15" s="72"/>
      <c r="L15" s="1" t="s">
        <v>16</v>
      </c>
      <c r="P15" s="25">
        <f>G10-F10+IF(F10&gt;G10,1)</f>
        <v>1.1555555555555557</v>
      </c>
    </row>
    <row r="16" spans="1:21" ht="26.25" thickBot="1" x14ac:dyDescent="0.2">
      <c r="A16" s="179" t="s">
        <v>10</v>
      </c>
      <c r="B16" s="180"/>
      <c r="C16" s="101">
        <f>E7</f>
        <v>0</v>
      </c>
      <c r="D16" s="66">
        <f>E8</f>
        <v>75</v>
      </c>
      <c r="E16" s="65">
        <f>E9</f>
        <v>96</v>
      </c>
      <c r="F16" s="67">
        <f>E10</f>
        <v>45</v>
      </c>
      <c r="G16" s="181" t="s">
        <v>42</v>
      </c>
      <c r="H16" s="182"/>
      <c r="I16" s="182"/>
      <c r="J16" s="183"/>
      <c r="K16" s="46"/>
    </row>
    <row r="17" spans="1:16" ht="19.5" customHeight="1" thickBot="1" x14ac:dyDescent="0.2">
      <c r="A17" s="160" t="s">
        <v>17</v>
      </c>
      <c r="B17" s="184"/>
      <c r="C17" s="88"/>
      <c r="D17" s="85">
        <v>0</v>
      </c>
      <c r="E17" s="88">
        <v>0</v>
      </c>
      <c r="F17" s="85">
        <v>0</v>
      </c>
      <c r="G17" s="162" t="s">
        <v>43</v>
      </c>
      <c r="H17" s="163"/>
      <c r="I17" s="163"/>
      <c r="J17" s="164"/>
      <c r="K17" s="26"/>
    </row>
    <row r="18" spans="1:16" ht="20.25" thickBot="1" x14ac:dyDescent="0.2">
      <c r="A18" s="167" t="s">
        <v>18</v>
      </c>
      <c r="B18" s="168"/>
      <c r="C18" s="115"/>
      <c r="D18" s="87">
        <v>0</v>
      </c>
      <c r="E18" s="115">
        <v>0</v>
      </c>
      <c r="F18" s="87">
        <v>1</v>
      </c>
      <c r="G18" s="162" t="s">
        <v>40</v>
      </c>
      <c r="H18" s="163"/>
      <c r="I18" s="163"/>
      <c r="J18" s="164"/>
      <c r="P18" s="1" t="s">
        <v>19</v>
      </c>
    </row>
    <row r="19" spans="1:16" ht="20.25" thickBot="1" x14ac:dyDescent="0.2">
      <c r="A19" s="172" t="s">
        <v>20</v>
      </c>
      <c r="B19" s="173"/>
      <c r="C19" s="89"/>
      <c r="D19" s="89">
        <v>0</v>
      </c>
      <c r="E19" s="89">
        <v>0</v>
      </c>
      <c r="F19" s="89">
        <v>0</v>
      </c>
      <c r="G19" s="174" t="s">
        <v>41</v>
      </c>
      <c r="H19" s="175"/>
      <c r="I19" s="175"/>
      <c r="J19" s="176"/>
      <c r="K19" s="75"/>
    </row>
    <row r="20" spans="1:16" ht="20.25" thickBot="1" x14ac:dyDescent="0.2">
      <c r="A20" s="160" t="s">
        <v>21</v>
      </c>
      <c r="B20" s="161"/>
      <c r="C20" s="86"/>
      <c r="D20" s="86">
        <v>3</v>
      </c>
      <c r="E20" s="89">
        <v>3</v>
      </c>
      <c r="F20" s="89">
        <v>2</v>
      </c>
      <c r="G20" s="162"/>
      <c r="H20" s="163"/>
      <c r="I20" s="163"/>
      <c r="J20" s="164"/>
      <c r="K20" s="27"/>
    </row>
    <row r="21" spans="1:16" ht="23.25" thickBot="1" x14ac:dyDescent="0.2">
      <c r="A21" s="155" t="s">
        <v>22</v>
      </c>
      <c r="B21" s="156"/>
      <c r="C21" s="96">
        <f>SUM(C15:C20)</f>
        <v>0</v>
      </c>
      <c r="D21" s="97">
        <f t="shared" ref="D21:E21" si="0">SUM(D15:D20)</f>
        <v>109</v>
      </c>
      <c r="E21" s="96">
        <f t="shared" si="0"/>
        <v>120</v>
      </c>
      <c r="F21" s="98">
        <f>SUM(F15:F20)</f>
        <v>48</v>
      </c>
      <c r="G21" s="157"/>
      <c r="H21" s="158"/>
      <c r="I21" s="158"/>
      <c r="J21" s="159"/>
    </row>
    <row r="22" spans="1:16" ht="20.25" thickBot="1" x14ac:dyDescent="0.2">
      <c r="A22" s="160" t="s">
        <v>23</v>
      </c>
      <c r="B22" s="161"/>
      <c r="C22" s="90">
        <f>HOUR(N14)+MINUTE(N14)/60</f>
        <v>0</v>
      </c>
      <c r="D22" s="91">
        <f>HOUR(O14)+MINUTE(O14)/60</f>
        <v>7.25</v>
      </c>
      <c r="E22" s="90">
        <f>HOUR(P14)+MINUTE(P14)/60</f>
        <v>7.1166666666666663</v>
      </c>
      <c r="F22" s="92">
        <f>HOUR(P15)+MINUTE(P15)/60</f>
        <v>3.7333333333333334</v>
      </c>
      <c r="G22" s="162"/>
      <c r="H22" s="163"/>
      <c r="I22" s="163"/>
      <c r="J22" s="164"/>
      <c r="K22" s="28"/>
    </row>
    <row r="23" spans="1:16" ht="18.75" customHeight="1" thickBot="1" x14ac:dyDescent="0.2">
      <c r="A23" s="160" t="s">
        <v>24</v>
      </c>
      <c r="B23" s="161"/>
      <c r="C23" s="93" t="e">
        <f>C21/C22</f>
        <v>#DIV/0!</v>
      </c>
      <c r="D23" s="94">
        <f>D21/D22</f>
        <v>15.03448275862069</v>
      </c>
      <c r="E23" s="93">
        <f>E21/E22</f>
        <v>16.861826697892273</v>
      </c>
      <c r="F23" s="95">
        <f>+F21/F22</f>
        <v>12.857142857142858</v>
      </c>
      <c r="G23" s="162"/>
      <c r="H23" s="163"/>
      <c r="I23" s="163"/>
      <c r="J23" s="164"/>
      <c r="K23" s="105"/>
      <c r="M23" s="105"/>
      <c r="P23" s="105"/>
    </row>
    <row r="24" spans="1:16" x14ac:dyDescent="0.15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05"/>
      <c r="L24" s="29"/>
      <c r="M24" s="105"/>
      <c r="P24" s="105"/>
    </row>
    <row r="25" spans="1:16" ht="16.5" customHeight="1" thickBot="1" x14ac:dyDescent="0.2">
      <c r="A25" s="166"/>
      <c r="B25" s="166"/>
      <c r="C25" s="166"/>
      <c r="D25" s="166"/>
      <c r="E25" s="166"/>
      <c r="F25" s="166"/>
      <c r="G25" s="166"/>
      <c r="H25" s="166"/>
      <c r="I25" s="166"/>
      <c r="J25" s="166"/>
      <c r="K25" s="105"/>
      <c r="L25" s="30"/>
      <c r="M25" s="105"/>
      <c r="P25" s="105"/>
    </row>
    <row r="26" spans="1:16" ht="18.75" thickBot="1" x14ac:dyDescent="0.2">
      <c r="A26" s="149" t="s">
        <v>25</v>
      </c>
      <c r="B26" s="150"/>
      <c r="C26" s="50" t="s">
        <v>26</v>
      </c>
      <c r="D26" s="58" t="s">
        <v>27</v>
      </c>
      <c r="E26" s="50" t="s">
        <v>28</v>
      </c>
      <c r="F26" s="149" t="s">
        <v>8</v>
      </c>
      <c r="G26" s="151"/>
      <c r="H26" s="151"/>
      <c r="I26" s="151"/>
      <c r="J26" s="152"/>
      <c r="L26" s="21"/>
      <c r="M26" s="21"/>
      <c r="O26" s="21"/>
    </row>
    <row r="27" spans="1:16" ht="0.75" hidden="1" customHeight="1" x14ac:dyDescent="0.15">
      <c r="A27" s="153"/>
      <c r="B27" s="154"/>
      <c r="C27" s="52"/>
      <c r="D27" s="59"/>
      <c r="E27" s="55"/>
      <c r="F27" s="62"/>
      <c r="G27" s="41"/>
      <c r="H27" s="41"/>
      <c r="I27" s="41"/>
      <c r="J27" s="42"/>
    </row>
    <row r="28" spans="1:16" ht="19.5" hidden="1" customHeight="1" x14ac:dyDescent="0.15">
      <c r="A28" s="147"/>
      <c r="B28" s="148"/>
      <c r="C28" s="53">
        <v>0</v>
      </c>
      <c r="D28" s="60">
        <v>0</v>
      </c>
      <c r="E28" s="56">
        <v>0</v>
      </c>
      <c r="F28" s="63"/>
      <c r="G28" s="3"/>
      <c r="H28" s="3"/>
      <c r="I28" s="31"/>
      <c r="J28" s="39"/>
    </row>
    <row r="29" spans="1:16" ht="19.5" hidden="1" customHeight="1" x14ac:dyDescent="0.15">
      <c r="A29" s="147"/>
      <c r="B29" s="148"/>
      <c r="C29" s="53">
        <v>0</v>
      </c>
      <c r="D29" s="60">
        <v>0</v>
      </c>
      <c r="E29" s="56">
        <v>0</v>
      </c>
      <c r="F29" s="63"/>
      <c r="G29" s="3"/>
      <c r="H29" s="3"/>
      <c r="I29" s="31"/>
      <c r="J29" s="39"/>
      <c r="L29" s="22"/>
    </row>
    <row r="30" spans="1:16" ht="19.5" hidden="1" customHeight="1" x14ac:dyDescent="0.15">
      <c r="A30" s="147"/>
      <c r="B30" s="148"/>
      <c r="C30" s="53">
        <v>0</v>
      </c>
      <c r="D30" s="60">
        <v>0</v>
      </c>
      <c r="E30" s="56">
        <v>0</v>
      </c>
      <c r="F30" s="63"/>
      <c r="G30" s="3"/>
      <c r="H30" s="3"/>
      <c r="I30" s="31"/>
      <c r="J30" s="39"/>
      <c r="L30" s="22"/>
    </row>
    <row r="31" spans="1:16" ht="25.5" hidden="1" customHeight="1" x14ac:dyDescent="0.15">
      <c r="A31" s="147"/>
      <c r="B31" s="148"/>
      <c r="C31" s="53">
        <v>0</v>
      </c>
      <c r="D31" s="60">
        <v>0</v>
      </c>
      <c r="E31" s="56">
        <v>0</v>
      </c>
      <c r="F31" s="63"/>
      <c r="G31" s="3"/>
      <c r="H31" s="3"/>
      <c r="I31" s="31"/>
      <c r="J31" s="39"/>
    </row>
    <row r="32" spans="1:16" ht="0.75" hidden="1" customHeight="1" x14ac:dyDescent="0.15">
      <c r="A32" s="147"/>
      <c r="B32" s="148"/>
      <c r="C32" s="53">
        <v>0</v>
      </c>
      <c r="D32" s="60">
        <v>0</v>
      </c>
      <c r="E32" s="56">
        <v>0</v>
      </c>
      <c r="F32" s="63"/>
      <c r="G32" s="3"/>
      <c r="H32" s="3"/>
      <c r="I32" s="3"/>
      <c r="J32" s="40"/>
    </row>
    <row r="33" spans="1:15" ht="19.5" hidden="1" customHeight="1" x14ac:dyDescent="0.15">
      <c r="A33" s="125"/>
      <c r="B33" s="126"/>
      <c r="C33" s="54">
        <v>0</v>
      </c>
      <c r="D33" s="61">
        <v>0</v>
      </c>
      <c r="E33" s="57">
        <v>0</v>
      </c>
      <c r="F33" s="64"/>
      <c r="G33" s="43"/>
      <c r="H33" s="43"/>
      <c r="I33" s="44"/>
      <c r="J33" s="45"/>
    </row>
    <row r="34" spans="1:15" ht="23.25" thickBot="1" x14ac:dyDescent="0.2">
      <c r="A34" s="120"/>
      <c r="B34" s="121"/>
      <c r="C34" s="103">
        <v>0</v>
      </c>
      <c r="D34" s="80">
        <v>0</v>
      </c>
      <c r="E34" s="81">
        <f>D34-C34+IF(C34&gt;D34,1)</f>
        <v>0</v>
      </c>
      <c r="F34" s="127"/>
      <c r="G34" s="128"/>
      <c r="H34" s="128"/>
      <c r="I34" s="128"/>
      <c r="J34" s="129"/>
    </row>
    <row r="35" spans="1:15" ht="19.5" customHeight="1" thickBot="1" x14ac:dyDescent="0.2">
      <c r="A35" s="120"/>
      <c r="B35" s="121"/>
      <c r="C35" s="103">
        <v>0</v>
      </c>
      <c r="D35" s="80">
        <v>0</v>
      </c>
      <c r="E35" s="84">
        <f t="shared" ref="E35:E36" si="1">D35-C35+IF(C35&gt;D35,1)</f>
        <v>0</v>
      </c>
      <c r="F35" s="127"/>
      <c r="G35" s="128"/>
      <c r="H35" s="128"/>
      <c r="I35" s="128"/>
      <c r="J35" s="129"/>
      <c r="K35" s="105"/>
      <c r="L35" s="105"/>
      <c r="M35" s="105"/>
    </row>
    <row r="36" spans="1:15" ht="20.25" customHeight="1" thickBot="1" x14ac:dyDescent="0.2">
      <c r="A36" s="120"/>
      <c r="B36" s="121"/>
      <c r="C36" s="102">
        <v>0</v>
      </c>
      <c r="D36" s="80">
        <v>0</v>
      </c>
      <c r="E36" s="99">
        <f t="shared" si="1"/>
        <v>0</v>
      </c>
      <c r="F36" s="122"/>
      <c r="G36" s="123"/>
      <c r="H36" s="123"/>
      <c r="I36" s="123"/>
      <c r="J36" s="124"/>
      <c r="K36" s="105"/>
      <c r="L36" s="105"/>
      <c r="M36" s="105"/>
    </row>
    <row r="37" spans="1:15" ht="20.25" thickBot="1" x14ac:dyDescent="0.2">
      <c r="A37" s="130"/>
      <c r="B37" s="131"/>
      <c r="C37" s="82">
        <v>0</v>
      </c>
      <c r="D37" s="116">
        <v>0</v>
      </c>
      <c r="E37" s="81">
        <f>D37-C37+IF(C37&gt;D37,1)</f>
        <v>0</v>
      </c>
      <c r="F37" s="122"/>
      <c r="G37" s="123"/>
      <c r="H37" s="123"/>
      <c r="I37" s="123"/>
      <c r="J37" s="124"/>
      <c r="K37" s="105"/>
      <c r="L37" s="105"/>
      <c r="M37" s="105"/>
    </row>
    <row r="38" spans="1:15" ht="20.25" thickBot="1" x14ac:dyDescent="0.2">
      <c r="A38" s="120"/>
      <c r="B38" s="121"/>
      <c r="C38" s="79">
        <v>0</v>
      </c>
      <c r="D38" s="80">
        <v>0</v>
      </c>
      <c r="E38" s="81">
        <f t="shared" ref="E38:E41" si="2">D38-C38+IF(C38&gt;D38,1)</f>
        <v>0</v>
      </c>
      <c r="F38" s="122" t="s">
        <v>16</v>
      </c>
      <c r="G38" s="123"/>
      <c r="H38" s="123"/>
      <c r="I38" s="123"/>
      <c r="J38" s="124"/>
      <c r="K38" s="105"/>
      <c r="L38" s="105"/>
      <c r="M38" s="105"/>
    </row>
    <row r="39" spans="1:15" ht="19.5" customHeight="1" thickBot="1" x14ac:dyDescent="0.2">
      <c r="A39" s="120"/>
      <c r="B39" s="121"/>
      <c r="C39" s="79">
        <v>0</v>
      </c>
      <c r="D39" s="80">
        <v>0</v>
      </c>
      <c r="E39" s="81">
        <f>D39-C39+IF(C39&gt;D39,1)</f>
        <v>0</v>
      </c>
      <c r="F39" s="122"/>
      <c r="G39" s="123"/>
      <c r="H39" s="123"/>
      <c r="I39" s="123"/>
      <c r="J39" s="124"/>
      <c r="K39" s="105"/>
      <c r="L39" s="105"/>
      <c r="M39" s="105"/>
    </row>
    <row r="40" spans="1:15" ht="20.25" thickBot="1" x14ac:dyDescent="0.2">
      <c r="A40" s="120"/>
      <c r="B40" s="121"/>
      <c r="C40" s="82">
        <v>0</v>
      </c>
      <c r="D40" s="83">
        <v>0</v>
      </c>
      <c r="E40" s="84">
        <f>D40-C40+IF(C40&gt;D40,1)</f>
        <v>0</v>
      </c>
      <c r="F40" s="122"/>
      <c r="G40" s="123"/>
      <c r="H40" s="123"/>
      <c r="I40" s="123"/>
      <c r="J40" s="124"/>
      <c r="K40" s="105"/>
      <c r="L40" s="105"/>
      <c r="M40" s="105"/>
    </row>
    <row r="41" spans="1:15" ht="20.25" thickBot="1" x14ac:dyDescent="0.2">
      <c r="A41" s="120"/>
      <c r="B41" s="121"/>
      <c r="C41" s="79">
        <v>0</v>
      </c>
      <c r="D41" s="80">
        <v>0</v>
      </c>
      <c r="E41" s="81">
        <f t="shared" si="2"/>
        <v>0</v>
      </c>
      <c r="F41" s="144"/>
      <c r="G41" s="145"/>
      <c r="H41" s="145"/>
      <c r="I41" s="145"/>
      <c r="J41" s="146"/>
      <c r="K41" s="105"/>
      <c r="L41" s="105"/>
      <c r="M41" s="105"/>
    </row>
    <row r="42" spans="1:15" ht="20.25" customHeight="1" thickBot="1" x14ac:dyDescent="0.2">
      <c r="A42" s="120"/>
      <c r="B42" s="121"/>
      <c r="C42" s="82">
        <v>0</v>
      </c>
      <c r="D42" s="83">
        <v>0</v>
      </c>
      <c r="E42" s="84">
        <f t="shared" ref="E42:E43" si="3">D42-C42+IF(C42&gt;D42,1)</f>
        <v>0</v>
      </c>
      <c r="F42" s="122" t="s">
        <v>32</v>
      </c>
      <c r="G42" s="123"/>
      <c r="H42" s="123"/>
      <c r="I42" s="123"/>
      <c r="J42" s="124"/>
      <c r="K42" s="105"/>
      <c r="L42" s="105"/>
      <c r="M42" s="105"/>
    </row>
    <row r="43" spans="1:15" ht="18.75" thickBot="1" x14ac:dyDescent="0.2">
      <c r="A43" s="139"/>
      <c r="B43" s="140"/>
      <c r="C43" s="79">
        <v>0</v>
      </c>
      <c r="D43" s="80">
        <v>0</v>
      </c>
      <c r="E43" s="81">
        <f t="shared" si="3"/>
        <v>0</v>
      </c>
      <c r="F43" s="141"/>
      <c r="G43" s="142"/>
      <c r="H43" s="142"/>
      <c r="I43" s="142"/>
      <c r="J43" s="143"/>
      <c r="K43" s="105"/>
      <c r="L43" s="105"/>
      <c r="M43" s="105"/>
    </row>
    <row r="44" spans="1:15" ht="20.100000000000001" customHeight="1" x14ac:dyDescent="0.15">
      <c r="A44" s="4"/>
      <c r="B44" s="4"/>
      <c r="C44" s="5"/>
      <c r="D44" s="5"/>
      <c r="E44" s="6"/>
      <c r="F44" s="47"/>
      <c r="G44" s="48"/>
      <c r="H44" s="48"/>
      <c r="I44" s="48"/>
      <c r="J44" s="48"/>
      <c r="K44" s="105"/>
      <c r="L44" s="105"/>
      <c r="M44" s="105"/>
    </row>
    <row r="45" spans="1:15" ht="20.100000000000001" customHeight="1" thickBot="1" x14ac:dyDescent="0.2">
      <c r="A45" s="132"/>
      <c r="B45" s="132"/>
      <c r="C45" s="8"/>
      <c r="D45" s="6"/>
      <c r="E45" s="6"/>
      <c r="F45" s="6"/>
      <c r="G45" s="9"/>
      <c r="H45" s="9"/>
      <c r="I45" s="9"/>
      <c r="J45" s="9"/>
      <c r="K45" s="105"/>
      <c r="L45" s="105"/>
      <c r="M45" s="105"/>
    </row>
    <row r="46" spans="1:15" ht="18.75" thickBot="1" x14ac:dyDescent="0.2">
      <c r="A46" s="132"/>
      <c r="B46" s="132"/>
      <c r="C46" s="8"/>
      <c r="D46" s="8"/>
      <c r="E46" s="8"/>
      <c r="F46" s="8"/>
      <c r="G46" s="133" t="s">
        <v>29</v>
      </c>
      <c r="H46" s="134"/>
      <c r="I46" s="135"/>
      <c r="J46" s="32"/>
      <c r="K46" s="104"/>
      <c r="L46" s="104"/>
    </row>
    <row r="47" spans="1:15" ht="20.25" thickBot="1" x14ac:dyDescent="0.2">
      <c r="A47" s="132"/>
      <c r="B47" s="132"/>
      <c r="C47" s="8"/>
      <c r="D47" s="8"/>
      <c r="E47" s="8"/>
      <c r="F47" s="8"/>
      <c r="G47" s="136" t="s">
        <v>30</v>
      </c>
      <c r="H47" s="137"/>
      <c r="I47" s="138"/>
      <c r="J47" s="9"/>
      <c r="K47" s="105"/>
      <c r="L47" s="105"/>
      <c r="M47" s="105"/>
      <c r="N47" s="105"/>
      <c r="O47" s="105"/>
    </row>
    <row r="48" spans="1:15" ht="20.100000000000001" customHeight="1" x14ac:dyDescent="0.15">
      <c r="A48" s="7"/>
      <c r="B48" s="7"/>
      <c r="C48" s="8"/>
      <c r="D48" s="8"/>
      <c r="E48" s="8"/>
      <c r="F48" s="8"/>
      <c r="G48" s="10"/>
      <c r="H48" s="10"/>
      <c r="I48" s="73"/>
      <c r="J48" s="74"/>
      <c r="K48" s="105"/>
      <c r="L48" s="105"/>
      <c r="M48" s="105"/>
      <c r="N48" s="105"/>
      <c r="O48" s="105"/>
    </row>
    <row r="49" spans="1:15" ht="16.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05"/>
      <c r="L49" s="105"/>
      <c r="M49" s="105"/>
      <c r="N49" s="105"/>
      <c r="O49" s="105"/>
    </row>
    <row r="50" spans="1:15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5" x14ac:dyDescent="0.15">
      <c r="A52" s="12"/>
      <c r="B52" s="12"/>
      <c r="C52" s="12"/>
      <c r="D52" s="12"/>
      <c r="E52" s="12"/>
      <c r="F52" s="12"/>
      <c r="G52" s="13"/>
      <c r="H52" s="12"/>
      <c r="I52" s="12"/>
      <c r="J52" s="12"/>
    </row>
    <row r="53" spans="1:15" x14ac:dyDescent="0.15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 t="s">
        <v>31</v>
      </c>
      <c r="K55" s="12"/>
      <c r="L55" s="12"/>
    </row>
    <row r="56" spans="1:15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5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5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5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5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5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5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5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5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15">
      <c r="C78" s="12"/>
    </row>
    <row r="79" spans="1:12" x14ac:dyDescent="0.15">
      <c r="C79" s="12"/>
    </row>
    <row r="80" spans="1:12" x14ac:dyDescent="0.15">
      <c r="C80" s="12"/>
    </row>
    <row r="81" spans="3:3" x14ac:dyDescent="0.15">
      <c r="C81" s="12"/>
    </row>
  </sheetData>
  <mergeCells count="77">
    <mergeCell ref="K1:K2"/>
    <mergeCell ref="B5:C6"/>
    <mergeCell ref="H5:J6"/>
    <mergeCell ref="A1:J1"/>
    <mergeCell ref="E3:J3"/>
    <mergeCell ref="D5:E5"/>
    <mergeCell ref="A5:A6"/>
    <mergeCell ref="B7:C7"/>
    <mergeCell ref="H7:J7"/>
    <mergeCell ref="B3:D3"/>
    <mergeCell ref="B9:C9"/>
    <mergeCell ref="H10:J10"/>
    <mergeCell ref="B10:C10"/>
    <mergeCell ref="B8:C8"/>
    <mergeCell ref="H8:J8"/>
    <mergeCell ref="H9:J9"/>
    <mergeCell ref="F5:F6"/>
    <mergeCell ref="G5:G6"/>
    <mergeCell ref="A11:C11"/>
    <mergeCell ref="D11:E11"/>
    <mergeCell ref="G11:H11"/>
    <mergeCell ref="I11:J11"/>
    <mergeCell ref="A14:B14"/>
    <mergeCell ref="G14:J14"/>
    <mergeCell ref="A18:B18"/>
    <mergeCell ref="G15:J15"/>
    <mergeCell ref="A19:B19"/>
    <mergeCell ref="A20:B20"/>
    <mergeCell ref="G20:J20"/>
    <mergeCell ref="G18:J18"/>
    <mergeCell ref="G19:J19"/>
    <mergeCell ref="A15:B15"/>
    <mergeCell ref="A16:B16"/>
    <mergeCell ref="G16:J16"/>
    <mergeCell ref="A17:B17"/>
    <mergeCell ref="G17:J17"/>
    <mergeCell ref="A26:B26"/>
    <mergeCell ref="F26:J26"/>
    <mergeCell ref="A27:B27"/>
    <mergeCell ref="A21:B21"/>
    <mergeCell ref="G21:J21"/>
    <mergeCell ref="A22:B22"/>
    <mergeCell ref="G23:J23"/>
    <mergeCell ref="G22:J22"/>
    <mergeCell ref="A24:J25"/>
    <mergeCell ref="A23:B23"/>
    <mergeCell ref="A28:B28"/>
    <mergeCell ref="A29:B29"/>
    <mergeCell ref="A30:B30"/>
    <mergeCell ref="A31:B31"/>
    <mergeCell ref="A32:B32"/>
    <mergeCell ref="A46:B46"/>
    <mergeCell ref="G46:I46"/>
    <mergeCell ref="A47:B47"/>
    <mergeCell ref="G47:I47"/>
    <mergeCell ref="A39:B39"/>
    <mergeCell ref="F39:J39"/>
    <mergeCell ref="A42:B42"/>
    <mergeCell ref="F42:J42"/>
    <mergeCell ref="A43:B43"/>
    <mergeCell ref="F43:J43"/>
    <mergeCell ref="A41:B41"/>
    <mergeCell ref="F41:J41"/>
    <mergeCell ref="A40:B40"/>
    <mergeCell ref="F40:J40"/>
    <mergeCell ref="A45:B45"/>
    <mergeCell ref="A38:B38"/>
    <mergeCell ref="F37:J37"/>
    <mergeCell ref="A36:B36"/>
    <mergeCell ref="A33:B33"/>
    <mergeCell ref="A34:B34"/>
    <mergeCell ref="A35:B35"/>
    <mergeCell ref="F35:J35"/>
    <mergeCell ref="F34:J34"/>
    <mergeCell ref="F36:J36"/>
    <mergeCell ref="A37:B37"/>
    <mergeCell ref="F38:J38"/>
  </mergeCells>
  <phoneticPr fontId="3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ABCHIR Oussama</cp:lastModifiedBy>
  <cp:lastPrinted>2026-05-22T13:21:27Z</cp:lastPrinted>
  <dcterms:created xsi:type="dcterms:W3CDTF">2024-06-15T14:24:00Z</dcterms:created>
  <dcterms:modified xsi:type="dcterms:W3CDTF">2026-06-23T21:45:38Z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B85F956B666644AAA364F698EEF20584_12</vt:lpwstr>
  </property>
  <property fmtid="{D5CDD505-2E9C-101B-9397-08002B2CF9AE}" pid="3" name="KSOProductBuildVer">
    <vt:lpwstr>1033-12.2.0.23196</vt:lpwstr>
  </property>
</Properties>
</file>