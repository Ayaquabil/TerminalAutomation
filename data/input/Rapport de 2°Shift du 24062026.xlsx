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7550" documentId="8_{522ADEEE-77A4-47BA-9E87-BD84035E8CFB}" xr6:coauthVersionLast="47" xr6:coauthVersionMax="47" xr10:uidLastSave="{37A1ABE7-FFDB-491C-9DD6-A86D355215C0}"/>
  <bookViews>
    <workbookView xWindow="2070" yWindow="2040" windowWidth="24375" windowHeight="1416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<sst xmlns="http://schemas.openxmlformats.org/spreadsheetml/2006/main" count="61" uniqueCount="47">
  <si>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</si>
  <si>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</si>
  <si>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</si>
  <si>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</si>
  <si>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</si>
  <si>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</si>
  <si>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</si>
  <si>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</si>
  <si>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</si>
  <si>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</si>
  <si>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</si>
  <si>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</si>
  <si>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</si>
  <si>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</si>
  <si>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</si>
  <si>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</si>
  <si>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</si>
  <si>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</si>
  <si>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</si>
  <si>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</si>
  <si>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</si>
  <si>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</si>
  <si>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</si>
  <si>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</si>
  <si>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</si>
  <si>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</si>
  <si>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</si>
  <si>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</si>
  <si>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</si>
  <si>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</si>
  <si>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</si>
  <si>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</si>
  <si>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</si>
  <si>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 xml:space="preserve">    </t>
  </si>
  <si>
    <t>Prép de shift + Mvt de Portique</t>
  </si>
  <si>
    <t xml:space="preserve">Prép de shift + Mvt de Portique </t>
  </si>
  <si>
    <t>SHIFT 2</t>
  </si>
  <si>
    <t>CC JANE</t>
  </si>
  <si>
    <t>Libération des tracteurs ayant été chargés par les TC (IMP) du shift précédent</t>
  </si>
  <si>
    <t>AK PERSUS</t>
  </si>
  <si>
    <t>VENTO MELTEMI</t>
  </si>
  <si>
    <r>
      <t xml:space="preserve">AK PERSUS : </t>
    </r>
    <r>
      <rPr>
        <b/>
        <sz val="16"/>
        <rFont val="Tahoma"/>
        <family val="2"/>
      </rPr>
      <t>Chargement des 20' en single</t>
    </r>
  </si>
  <si>
    <t>Hyd</t>
  </si>
  <si>
    <r>
      <t>VENTO MELTEMI :</t>
    </r>
    <r>
      <rPr>
        <b/>
        <sz val="16"/>
        <rFont val="Tahoma"/>
        <family val="2"/>
      </rPr>
      <t xml:space="preserve"> Manque des TC's vides tarros (45R1, 42U1)</t>
    </r>
  </si>
  <si>
    <t>Parc saturé, congestion</t>
  </si>
  <si>
    <t>Plein éparpillés et non localisées + Shifting parc</t>
  </si>
  <si>
    <r>
      <t>VENTO MELTEMI :</t>
    </r>
    <r>
      <rPr>
        <b/>
        <sz val="16"/>
        <rFont val="Tahoma"/>
        <family val="2"/>
      </rPr>
      <t xml:space="preserve"> Débarquement des TC's import à quai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</si>
</sst>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  <font>
      <b/>
      <sz val="18"/>
      <color rgb="FFFF0000"/>
      <name val="Tahoma"/>
      <family val="2"/>
    </font>
    <font>
      <b/>
      <sz val="20"/>
      <color theme="1"/>
      <name val="Tahoma"/>
      <family val="2"/>
    </font>
    <font>
      <b/>
      <sz val="20"/>
      <color rgb="FFFF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19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42" fillId="5" borderId="43" xfId="0" applyFont="1" applyFill="1" applyBorder="1" applyAlignment="1" applyProtection="1">
      <alignment horizontal="center" vertical="center" wrapText="1"/>
      <protection locked="0"/>
    </xf>
    <xf numFmtId="0" fontId="43" fillId="5" borderId="0" xfId="0" applyFont="1" applyFill="1" applyAlignment="1" applyProtection="1">
      <alignment horizontal="center" vertical="center" wrapText="1"/>
      <protection locked="0"/>
    </xf>
    <xf numFmtId="0" fontId="43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42" fillId="5" borderId="1" xfId="0" applyFont="1" applyFill="1" applyBorder="1" applyAlignment="1" applyProtection="1">
      <alignment horizontal="center" vertical="center" wrapText="1"/>
      <protection locked="0"/>
    </xf>
    <xf numFmtId="0" fontId="43" fillId="5" borderId="2" xfId="0" applyFont="1" applyFill="1" applyBorder="1" applyAlignment="1" applyProtection="1">
      <alignment horizontal="center" vertical="center" wrapText="1"/>
      <protection locked="0"/>
    </xf>
    <xf numFmtId="0" fontId="43" fillId="5" borderId="14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13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164" fontId="4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F40" sqref="F40:J40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88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17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118"/>
      <c r="L2" s="14"/>
    </row>
    <row r="3" spans="1:21" ht="20.25" thickBot="1" x14ac:dyDescent="0.2">
      <c r="A3" s="36" t="s">
        <v>2</v>
      </c>
      <c r="B3" s="137">
        <v>46197</v>
      </c>
      <c r="C3" s="138"/>
      <c r="D3" s="139"/>
      <c r="E3" s="132" t="s">
        <v>36</v>
      </c>
      <c r="F3" s="133"/>
      <c r="G3" s="133"/>
      <c r="H3" s="133"/>
      <c r="I3" s="133"/>
      <c r="J3" s="134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119" t="s">
        <v>3</v>
      </c>
      <c r="B5" s="119" t="s">
        <v>4</v>
      </c>
      <c r="C5" s="120"/>
      <c r="D5" s="135" t="s">
        <v>5</v>
      </c>
      <c r="E5" s="135"/>
      <c r="F5" s="145" t="s">
        <v>6</v>
      </c>
      <c r="G5" s="124" t="s">
        <v>7</v>
      </c>
      <c r="H5" s="123" t="s">
        <v>8</v>
      </c>
      <c r="I5" s="124"/>
      <c r="J5" s="125"/>
      <c r="K5" s="17"/>
      <c r="M5" s="18"/>
    </row>
    <row r="6" spans="1:21" ht="18.75" thickBot="1" x14ac:dyDescent="0.2">
      <c r="A6" s="136"/>
      <c r="B6" s="121"/>
      <c r="C6" s="122"/>
      <c r="D6" s="78" t="s">
        <v>9</v>
      </c>
      <c r="E6" s="76" t="s">
        <v>10</v>
      </c>
      <c r="F6" s="146"/>
      <c r="G6" s="127"/>
      <c r="H6" s="126"/>
      <c r="I6" s="127"/>
      <c r="J6" s="128"/>
      <c r="K6" s="17"/>
    </row>
    <row r="7" spans="1:21" ht="20.25" customHeight="1" thickBot="1" x14ac:dyDescent="0.2">
      <c r="A7" s="112" t="s">
        <v>11</v>
      </c>
      <c r="B7" s="140" t="s">
        <v>37</v>
      </c>
      <c r="C7" s="141"/>
      <c r="D7" s="110">
        <v>96</v>
      </c>
      <c r="E7" s="77">
        <v>0</v>
      </c>
      <c r="F7" s="111">
        <v>1.6395833333333334</v>
      </c>
      <c r="G7" s="111">
        <v>1.9368055555555554</v>
      </c>
      <c r="H7" s="142" t="s">
        <v>34</v>
      </c>
      <c r="I7" s="143"/>
      <c r="J7" s="144"/>
      <c r="K7" s="19"/>
    </row>
    <row r="8" spans="1:21" ht="20.25" customHeight="1" thickBot="1" x14ac:dyDescent="0.2">
      <c r="A8" s="113" t="s">
        <v>12</v>
      </c>
      <c r="B8" s="140" t="s">
        <v>39</v>
      </c>
      <c r="C8" s="141"/>
      <c r="D8" s="110">
        <v>15</v>
      </c>
      <c r="E8" s="77">
        <v>66</v>
      </c>
      <c r="F8" s="111">
        <v>1.6444444444444444</v>
      </c>
      <c r="G8" s="111">
        <v>1.9409722222222223</v>
      </c>
      <c r="H8" s="142" t="s">
        <v>34</v>
      </c>
      <c r="I8" s="143"/>
      <c r="J8" s="144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140" t="s">
        <v>40</v>
      </c>
      <c r="C9" s="141"/>
      <c r="D9" s="110">
        <v>58</v>
      </c>
      <c r="E9" s="77">
        <v>57</v>
      </c>
      <c r="F9" s="111">
        <v>1.6395833333333334</v>
      </c>
      <c r="G9" s="111">
        <v>2.9368055555555554</v>
      </c>
      <c r="H9" s="142" t="s">
        <v>34</v>
      </c>
      <c r="I9" s="143"/>
      <c r="J9" s="144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140" t="s">
        <v>40</v>
      </c>
      <c r="C10" s="141"/>
      <c r="D10" s="110">
        <v>44</v>
      </c>
      <c r="E10" s="77">
        <v>64</v>
      </c>
      <c r="F10" s="111">
        <v>1.6409722222222223</v>
      </c>
      <c r="G10" s="111">
        <v>2.9368055555555554</v>
      </c>
      <c r="H10" s="142" t="s">
        <v>35</v>
      </c>
      <c r="I10" s="143"/>
      <c r="J10" s="144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47"/>
      <c r="B11" s="147"/>
      <c r="C11" s="147"/>
      <c r="D11" s="148" t="s">
        <v>33</v>
      </c>
      <c r="E11" s="148"/>
      <c r="F11" s="2"/>
      <c r="G11" s="149"/>
      <c r="H11" s="149"/>
      <c r="I11" s="150"/>
      <c r="J11" s="150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 t="s">
        <v>19</v>
      </c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51" t="s">
        <v>15</v>
      </c>
      <c r="B14" s="152"/>
      <c r="C14" s="50" t="s">
        <v>11</v>
      </c>
      <c r="D14" s="51" t="s">
        <v>12</v>
      </c>
      <c r="E14" s="50" t="s">
        <v>13</v>
      </c>
      <c r="F14" s="49" t="s">
        <v>14</v>
      </c>
      <c r="G14" s="153" t="s">
        <v>8</v>
      </c>
      <c r="H14" s="154"/>
      <c r="I14" s="154"/>
      <c r="J14" s="155"/>
      <c r="K14" s="9"/>
      <c r="M14" s="21"/>
      <c r="N14" s="25">
        <f>G7-F7+IF(F7&gt;G7,1)</f>
        <v>0.29722222222222205</v>
      </c>
      <c r="O14" s="25">
        <f>G8-F8+IF(F8&gt;G8,1)</f>
        <v>0.29652777777777795</v>
      </c>
      <c r="P14" s="25">
        <f>G9-F9+IF(F9&gt;G9,1)</f>
        <v>1.2972222222222221</v>
      </c>
    </row>
    <row r="15" spans="1:21" ht="26.25" thickBot="1" x14ac:dyDescent="0.2">
      <c r="A15" s="171" t="s">
        <v>9</v>
      </c>
      <c r="B15" s="172"/>
      <c r="C15" s="100">
        <f>D7</f>
        <v>96</v>
      </c>
      <c r="D15" s="69">
        <f>D8</f>
        <v>15</v>
      </c>
      <c r="E15" s="68">
        <f>D9</f>
        <v>58</v>
      </c>
      <c r="F15" s="70">
        <f>D10</f>
        <v>44</v>
      </c>
      <c r="G15" s="158" t="s">
        <v>44</v>
      </c>
      <c r="H15" s="159"/>
      <c r="I15" s="159"/>
      <c r="J15" s="160"/>
      <c r="K15" s="72"/>
      <c r="L15" s="1" t="s">
        <v>16</v>
      </c>
      <c r="P15" s="25">
        <f>G10-F10+IF(F10&gt;G10,1)</f>
        <v>1.2958333333333332</v>
      </c>
    </row>
    <row r="16" spans="1:21" ht="26.25" thickBot="1" x14ac:dyDescent="0.2">
      <c r="A16" s="173" t="s">
        <v>10</v>
      </c>
      <c r="B16" s="174"/>
      <c r="C16" s="101">
        <f>E7</f>
        <v>0</v>
      </c>
      <c r="D16" s="66">
        <f>E8</f>
        <v>66</v>
      </c>
      <c r="E16" s="65">
        <f>E9</f>
        <v>57</v>
      </c>
      <c r="F16" s="67">
        <f>E10</f>
        <v>64</v>
      </c>
      <c r="G16" s="175" t="s">
        <v>45</v>
      </c>
      <c r="H16" s="176"/>
      <c r="I16" s="176"/>
      <c r="J16" s="177"/>
      <c r="K16" s="46"/>
    </row>
    <row r="17" spans="1:16" ht="19.5" customHeight="1" thickBot="1" x14ac:dyDescent="0.2">
      <c r="A17" s="163" t="s">
        <v>17</v>
      </c>
      <c r="B17" s="178"/>
      <c r="C17" s="88"/>
      <c r="D17" s="85"/>
      <c r="E17" s="88">
        <v>0</v>
      </c>
      <c r="F17" s="85">
        <v>2</v>
      </c>
      <c r="G17" s="165" t="s">
        <v>41</v>
      </c>
      <c r="H17" s="166"/>
      <c r="I17" s="166"/>
      <c r="J17" s="167"/>
      <c r="K17" s="26"/>
    </row>
    <row r="18" spans="1:16" ht="20.25" thickBot="1" x14ac:dyDescent="0.2">
      <c r="A18" s="156" t="s">
        <v>18</v>
      </c>
      <c r="B18" s="157"/>
      <c r="C18" s="115"/>
      <c r="D18" s="87"/>
      <c r="E18" s="115">
        <v>2</v>
      </c>
      <c r="F18" s="87">
        <v>0</v>
      </c>
      <c r="G18" s="165" t="s">
        <v>43</v>
      </c>
      <c r="H18" s="166"/>
      <c r="I18" s="166"/>
      <c r="J18" s="167"/>
      <c r="P18" s="1" t="s">
        <v>19</v>
      </c>
    </row>
    <row r="19" spans="1:16" ht="20.25" thickBot="1" x14ac:dyDescent="0.2">
      <c r="A19" s="161" t="s">
        <v>20</v>
      </c>
      <c r="B19" s="162"/>
      <c r="C19" s="89">
        <v>3</v>
      </c>
      <c r="D19" s="89" t="s">
        <v>42</v>
      </c>
      <c r="E19" s="89">
        <v>3</v>
      </c>
      <c r="F19" s="89">
        <v>2</v>
      </c>
      <c r="G19" s="168" t="s">
        <v>46</v>
      </c>
      <c r="H19" s="169"/>
      <c r="I19" s="169"/>
      <c r="J19" s="170"/>
      <c r="K19" s="75"/>
    </row>
    <row r="20" spans="1:16" ht="20.25" thickBot="1" x14ac:dyDescent="0.2">
      <c r="A20" s="163" t="s">
        <v>21</v>
      </c>
      <c r="B20" s="164"/>
      <c r="C20" s="86">
        <v>0</v>
      </c>
      <c r="D20" s="89" t="s">
        <v>42</v>
      </c>
      <c r="E20" s="89">
        <v>3</v>
      </c>
      <c r="F20" s="89">
        <v>3</v>
      </c>
      <c r="G20" s="165" t="s">
        <v>38</v>
      </c>
      <c r="H20" s="166"/>
      <c r="I20" s="166"/>
      <c r="J20" s="167"/>
      <c r="K20" s="27"/>
    </row>
    <row r="21" spans="1:16" ht="23.25" thickBot="1" x14ac:dyDescent="0.2">
      <c r="A21" s="183" t="s">
        <v>22</v>
      </c>
      <c r="B21" s="184"/>
      <c r="C21" s="96">
        <f>SUM(C15:C20)</f>
        <v>99</v>
      </c>
      <c r="D21" s="97">
        <f t="shared" ref="D21:E21" si="0">SUM(D15:D20)</f>
        <v>81</v>
      </c>
      <c r="E21" s="96">
        <f t="shared" si="0"/>
        <v>123</v>
      </c>
      <c r="F21" s="98">
        <f>SUM(F15:F20)</f>
        <v>115</v>
      </c>
      <c r="G21" s="185"/>
      <c r="H21" s="186"/>
      <c r="I21" s="186"/>
      <c r="J21" s="187"/>
    </row>
    <row r="22" spans="1:16" ht="20.25" thickBot="1" x14ac:dyDescent="0.2">
      <c r="A22" s="163" t="s">
        <v>23</v>
      </c>
      <c r="B22" s="164"/>
      <c r="C22" s="90">
        <f>HOUR(N14)+MINUTE(N14)/60</f>
        <v>7.1333333333333337</v>
      </c>
      <c r="D22" s="91">
        <f>HOUR(O14)+MINUTE(O14)/60</f>
        <v>7.1166666666666663</v>
      </c>
      <c r="E22" s="90">
        <f>HOUR(P14)+MINUTE(P14)/60</f>
        <v>7.1333333333333337</v>
      </c>
      <c r="F22" s="92">
        <f>HOUR(P15)+MINUTE(P15)/60</f>
        <v>7.1</v>
      </c>
      <c r="G22" s="165"/>
      <c r="H22" s="166"/>
      <c r="I22" s="166"/>
      <c r="J22" s="167"/>
      <c r="K22" s="28"/>
    </row>
    <row r="23" spans="1:16" ht="18.75" customHeight="1" thickBot="1" x14ac:dyDescent="0.2">
      <c r="A23" s="163" t="s">
        <v>24</v>
      </c>
      <c r="B23" s="164"/>
      <c r="C23" s="93">
        <f>C21/C22</f>
        <v>13.878504672897195</v>
      </c>
      <c r="D23" s="94">
        <f>D21/D22</f>
        <v>11.381733021077284</v>
      </c>
      <c r="E23" s="93">
        <f>E21/E22</f>
        <v>17.242990654205606</v>
      </c>
      <c r="F23" s="95">
        <f>+F21/F22</f>
        <v>16.197183098591552</v>
      </c>
      <c r="G23" s="165"/>
      <c r="H23" s="166"/>
      <c r="I23" s="166"/>
      <c r="J23" s="167"/>
      <c r="K23" s="105"/>
      <c r="M23" s="105"/>
      <c r="P23" s="105"/>
    </row>
    <row r="24" spans="1:16" x14ac:dyDescent="0.15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05"/>
      <c r="L24" s="29"/>
      <c r="M24" s="105"/>
      <c r="P24" s="105"/>
    </row>
    <row r="25" spans="1:16" ht="16.5" customHeight="1" thickBot="1" x14ac:dyDescent="0.2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05"/>
      <c r="L25" s="30"/>
      <c r="M25" s="105"/>
      <c r="P25" s="105"/>
    </row>
    <row r="26" spans="1:16" ht="18.75" thickBot="1" x14ac:dyDescent="0.2">
      <c r="A26" s="151" t="s">
        <v>25</v>
      </c>
      <c r="B26" s="152"/>
      <c r="C26" s="50" t="s">
        <v>26</v>
      </c>
      <c r="D26" s="58" t="s">
        <v>27</v>
      </c>
      <c r="E26" s="50" t="s">
        <v>28</v>
      </c>
      <c r="F26" s="151" t="s">
        <v>8</v>
      </c>
      <c r="G26" s="179"/>
      <c r="H26" s="179"/>
      <c r="I26" s="179"/>
      <c r="J26" s="180"/>
      <c r="L26" s="21"/>
      <c r="M26" s="21"/>
      <c r="O26" s="21"/>
    </row>
    <row r="27" spans="1:16" ht="0.75" hidden="1" customHeight="1" x14ac:dyDescent="0.15">
      <c r="A27" s="181"/>
      <c r="B27" s="182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90"/>
      <c r="B28" s="191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90"/>
      <c r="B29" s="191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90"/>
      <c r="B30" s="191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90"/>
      <c r="B31" s="191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90"/>
      <c r="B32" s="191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212"/>
      <c r="B33" s="213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23.25" thickBot="1" x14ac:dyDescent="0.2">
      <c r="A34" s="199"/>
      <c r="B34" s="200"/>
      <c r="C34" s="103">
        <v>0</v>
      </c>
      <c r="D34" s="80">
        <v>0</v>
      </c>
      <c r="E34" s="81">
        <f>D34-C34+IF(C34&gt;D34,1)</f>
        <v>0</v>
      </c>
      <c r="F34" s="214"/>
      <c r="G34" s="215"/>
      <c r="H34" s="215"/>
      <c r="I34" s="215"/>
      <c r="J34" s="216"/>
    </row>
    <row r="35" spans="1:15" ht="19.5" customHeight="1" thickBot="1" x14ac:dyDescent="0.2">
      <c r="A35" s="199"/>
      <c r="B35" s="200"/>
      <c r="C35" s="103">
        <v>0</v>
      </c>
      <c r="D35" s="80">
        <v>0</v>
      </c>
      <c r="E35" s="84">
        <f t="shared" ref="E35:E36" si="1">D35-C35+IF(C35&gt;D35,1)</f>
        <v>0</v>
      </c>
      <c r="F35" s="214"/>
      <c r="G35" s="215"/>
      <c r="H35" s="215"/>
      <c r="I35" s="215"/>
      <c r="J35" s="216"/>
      <c r="K35" s="105"/>
      <c r="L35" s="105"/>
      <c r="M35" s="105"/>
    </row>
    <row r="36" spans="1:15" ht="20.25" customHeight="1" thickBot="1" x14ac:dyDescent="0.2">
      <c r="A36" s="199"/>
      <c r="B36" s="200"/>
      <c r="C36" s="102">
        <v>0</v>
      </c>
      <c r="D36" s="80">
        <v>0</v>
      </c>
      <c r="E36" s="99">
        <f t="shared" si="1"/>
        <v>0</v>
      </c>
      <c r="F36" s="201"/>
      <c r="G36" s="202"/>
      <c r="H36" s="202"/>
      <c r="I36" s="202"/>
      <c r="J36" s="203"/>
      <c r="K36" s="105"/>
      <c r="L36" s="105"/>
      <c r="M36" s="105"/>
    </row>
    <row r="37" spans="1:15" ht="20.25" thickBot="1" x14ac:dyDescent="0.2">
      <c r="A37" s="217"/>
      <c r="B37" s="218"/>
      <c r="C37" s="82">
        <v>0</v>
      </c>
      <c r="D37" s="116">
        <v>0</v>
      </c>
      <c r="E37" s="81">
        <f>D37-C37+IF(C37&gt;D37,1)</f>
        <v>0</v>
      </c>
      <c r="F37" s="201"/>
      <c r="G37" s="202"/>
      <c r="H37" s="202"/>
      <c r="I37" s="202"/>
      <c r="J37" s="203"/>
      <c r="K37" s="105"/>
      <c r="L37" s="105"/>
      <c r="M37" s="105"/>
    </row>
    <row r="38" spans="1:15" ht="20.25" thickBot="1" x14ac:dyDescent="0.2">
      <c r="A38" s="199"/>
      <c r="B38" s="200"/>
      <c r="C38" s="79">
        <v>0</v>
      </c>
      <c r="D38" s="80">
        <v>0</v>
      </c>
      <c r="E38" s="81">
        <f t="shared" ref="E38:E41" si="2">D38-C38+IF(C38&gt;D38,1)</f>
        <v>0</v>
      </c>
      <c r="F38" s="201" t="s">
        <v>16</v>
      </c>
      <c r="G38" s="202"/>
      <c r="H38" s="202"/>
      <c r="I38" s="202"/>
      <c r="J38" s="203"/>
      <c r="K38" s="105"/>
      <c r="L38" s="105"/>
      <c r="M38" s="105"/>
    </row>
    <row r="39" spans="1:15" ht="19.5" customHeight="1" thickBot="1" x14ac:dyDescent="0.2">
      <c r="A39" s="199"/>
      <c r="B39" s="200"/>
      <c r="C39" s="79">
        <v>0</v>
      </c>
      <c r="D39" s="80">
        <v>0</v>
      </c>
      <c r="E39" s="81">
        <f>D39-C39+IF(C39&gt;D39,1)</f>
        <v>0</v>
      </c>
      <c r="F39" s="201"/>
      <c r="G39" s="202"/>
      <c r="H39" s="202"/>
      <c r="I39" s="202"/>
      <c r="J39" s="203"/>
      <c r="K39" s="105"/>
      <c r="L39" s="105"/>
      <c r="M39" s="105"/>
    </row>
    <row r="40" spans="1:15" ht="20.25" thickBot="1" x14ac:dyDescent="0.2">
      <c r="A40" s="199"/>
      <c r="B40" s="200"/>
      <c r="C40" s="82">
        <v>0</v>
      </c>
      <c r="D40" s="83">
        <v>0</v>
      </c>
      <c r="E40" s="84">
        <f>D40-C40+IF(C40&gt;D40,1)</f>
        <v>0</v>
      </c>
      <c r="F40" s="201"/>
      <c r="G40" s="202"/>
      <c r="H40" s="202"/>
      <c r="I40" s="202"/>
      <c r="J40" s="203"/>
      <c r="K40" s="105"/>
      <c r="L40" s="105"/>
      <c r="M40" s="105"/>
    </row>
    <row r="41" spans="1:15" ht="20.25" thickBot="1" x14ac:dyDescent="0.2">
      <c r="A41" s="199"/>
      <c r="B41" s="200"/>
      <c r="C41" s="79">
        <v>0</v>
      </c>
      <c r="D41" s="80">
        <v>0</v>
      </c>
      <c r="E41" s="81">
        <f t="shared" si="2"/>
        <v>0</v>
      </c>
      <c r="F41" s="209"/>
      <c r="G41" s="210"/>
      <c r="H41" s="210"/>
      <c r="I41" s="210"/>
      <c r="J41" s="211"/>
      <c r="K41" s="105"/>
      <c r="L41" s="105"/>
      <c r="M41" s="105"/>
    </row>
    <row r="42" spans="1:15" ht="20.25" customHeight="1" thickBot="1" x14ac:dyDescent="0.2">
      <c r="A42" s="199"/>
      <c r="B42" s="200"/>
      <c r="C42" s="82">
        <v>0</v>
      </c>
      <c r="D42" s="83">
        <v>0</v>
      </c>
      <c r="E42" s="84">
        <f t="shared" ref="E42:E43" si="3">D42-C42+IF(C42&gt;D42,1)</f>
        <v>0</v>
      </c>
      <c r="F42" s="201" t="s">
        <v>32</v>
      </c>
      <c r="G42" s="202"/>
      <c r="H42" s="202"/>
      <c r="I42" s="202"/>
      <c r="J42" s="203"/>
      <c r="K42" s="105"/>
      <c r="L42" s="105"/>
      <c r="M42" s="105"/>
    </row>
    <row r="43" spans="1:15" ht="18.75" thickBot="1" x14ac:dyDescent="0.2">
      <c r="A43" s="204"/>
      <c r="B43" s="205"/>
      <c r="C43" s="79">
        <v>0</v>
      </c>
      <c r="D43" s="80">
        <v>0</v>
      </c>
      <c r="E43" s="81">
        <f t="shared" si="3"/>
        <v>0</v>
      </c>
      <c r="F43" s="206"/>
      <c r="G43" s="207"/>
      <c r="H43" s="207"/>
      <c r="I43" s="207"/>
      <c r="J43" s="208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192"/>
      <c r="B45" s="192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192"/>
      <c r="B46" s="192"/>
      <c r="C46" s="8"/>
      <c r="D46" s="8"/>
      <c r="E46" s="8"/>
      <c r="F46" s="8"/>
      <c r="G46" s="193" t="s">
        <v>29</v>
      </c>
      <c r="H46" s="194"/>
      <c r="I46" s="195"/>
      <c r="J46" s="32"/>
      <c r="K46" s="104"/>
      <c r="L46" s="104"/>
    </row>
    <row r="47" spans="1:15" ht="20.25" thickBot="1" x14ac:dyDescent="0.2">
      <c r="A47" s="192"/>
      <c r="B47" s="192"/>
      <c r="C47" s="8"/>
      <c r="D47" s="8"/>
      <c r="E47" s="8"/>
      <c r="F47" s="8"/>
      <c r="G47" s="196" t="s">
        <v>30</v>
      </c>
      <c r="H47" s="197"/>
      <c r="I47" s="198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28:B28"/>
    <mergeCell ref="A29:B29"/>
    <mergeCell ref="A30:B30"/>
    <mergeCell ref="A31:B31"/>
    <mergeCell ref="A32:B32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11:C11"/>
    <mergeCell ref="D11:E11"/>
    <mergeCell ref="G11:H11"/>
    <mergeCell ref="I11:J11"/>
    <mergeCell ref="A14:B14"/>
    <mergeCell ref="G14:J14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K1:K2"/>
    <mergeCell ref="B5:C6"/>
    <mergeCell ref="H5:J6"/>
    <mergeCell ref="A1:J1"/>
    <mergeCell ref="E3:J3"/>
    <mergeCell ref="D5:E5"/>
    <mergeCell ref="A5:A6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2026-06-24T21:39:11Z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