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EDDINE\Desktop\"/>
    </mc:Choice>
  </mc:AlternateContent>
  <xr:revisionPtr revIDLastSave="0" documentId="13_ncr:1_{9E191302-72BE-4259-85E8-A5BE260153C1}" xr6:coauthVersionLast="47" xr6:coauthVersionMax="47" xr10:uidLastSave="{00000000-0000-0000-0000-000000000000}"/>
  <bookViews>
    <workbookView xWindow="-120" yWindow="-120" windowWidth="29040" windowHeight="15720" xr2:uid="{B93C70AF-F07B-466E-9F36-95368A1AE3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C16" i="1"/>
  <c r="E16" i="1"/>
  <c r="F16" i="1"/>
  <c r="D16" i="1"/>
  <c r="F15" i="1"/>
  <c r="D15" i="1"/>
  <c r="C15" i="1"/>
  <c r="E40" i="1"/>
  <c r="E21" i="1" l="1"/>
  <c r="P14" i="1"/>
  <c r="E22" i="1" s="1"/>
  <c r="P15" i="1"/>
  <c r="F22" i="1" s="1"/>
  <c r="O14" i="1"/>
  <c r="D22" i="1" s="1"/>
  <c r="N14" i="1"/>
  <c r="C22" i="1" s="1"/>
  <c r="E23" i="1" l="1"/>
  <c r="D21" i="1"/>
  <c r="D23" i="1" s="1"/>
  <c r="F21" i="1"/>
  <c r="F23" i="1" s="1"/>
  <c r="C21" i="1"/>
  <c r="C23" i="1" s="1"/>
</calcChain>
</file>

<file path=xl/sharedStrings.xml><?xml version="1.0" encoding="utf-8"?>
<sst xmlns="http://schemas.openxmlformats.org/spreadsheetml/2006/main" count="53" uniqueCount="42">
  <si>
    <t>Date</t>
  </si>
  <si>
    <t>SHIFT</t>
  </si>
  <si>
    <t xml:space="preserve">Portiques </t>
  </si>
  <si>
    <t>Navire</t>
  </si>
  <si>
    <t>Total moves</t>
  </si>
  <si>
    <t>DOC</t>
  </si>
  <si>
    <t>FOC</t>
  </si>
  <si>
    <t>Observations</t>
  </si>
  <si>
    <t>P1</t>
  </si>
  <si>
    <t>P2</t>
  </si>
  <si>
    <t>P3</t>
  </si>
  <si>
    <t>Import</t>
  </si>
  <si>
    <t>Export</t>
  </si>
  <si>
    <t>Shifting déchargé</t>
  </si>
  <si>
    <t>Shifting chargé</t>
  </si>
  <si>
    <t xml:space="preserve">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</si>
  <si>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</si>
  <si>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</si>
  <si>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</si>
  <si>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</si>
  <si>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</si>
  <si>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</si>
  <si>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Responsable de shift</t>
  </si>
  <si>
    <t>P4</t>
  </si>
  <si>
    <t xml:space="preserve">                                       SHIFT REPORT</t>
  </si>
  <si>
    <t>Début</t>
  </si>
  <si>
    <t>Fin</t>
  </si>
  <si>
    <t>Durée</t>
  </si>
  <si>
    <t>Portique</t>
  </si>
  <si>
    <t xml:space="preserve">   </t>
  </si>
  <si>
    <t>Code : FR01EXC01                                           Date :16/09/2019</t>
  </si>
  <si>
    <t>FATHEDDINE MOHAMED</t>
  </si>
  <si>
    <t>CMA CGM HAMLET</t>
  </si>
  <si>
    <t>BELITAKI</t>
  </si>
  <si>
    <t>préparation de shift</t>
  </si>
  <si>
    <t>mvt portique</t>
  </si>
  <si>
    <t>*M/V  BELITAKI SODI  TIIU2792998 :livré</t>
  </si>
  <si>
    <t>fermeture les pnx  la baie 026</t>
  </si>
  <si>
    <t>p2 des attentes répétitives d'acheminement export pleins</t>
  </si>
  <si>
    <t>P3 des attentes répétitives d'acheminement import</t>
  </si>
  <si>
    <t>p4 des attentes répétitives l'export  P/V</t>
  </si>
  <si>
    <t>LA cadance est liée aux condition des opérations au parc : Shifting export plein /Export Eprapillé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</si>
</sst>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name val="Tahoma"/>
      <family val="2"/>
    </font>
    <font>
      <b/>
      <sz val="26"/>
      <name val="Tahoma"/>
      <family val="2"/>
    </font>
    <font>
      <b/>
      <sz val="12"/>
      <name val="Tahoma"/>
      <family val="2"/>
    </font>
    <font>
      <b/>
      <i/>
      <sz val="12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8"/>
      <color theme="1"/>
      <name val="Aptos Narrow"/>
      <family val="2"/>
      <scheme val="minor"/>
    </font>
    <font>
      <b/>
      <sz val="16"/>
      <name val="Tahoma"/>
      <family val="2"/>
    </font>
    <font>
      <sz val="10"/>
      <color rgb="FFFF0000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4"/>
      <name val="Tahoma"/>
      <family val="2"/>
    </font>
    <font>
      <b/>
      <sz val="10"/>
      <color theme="0"/>
      <name val="Arial"/>
      <family val="2"/>
    </font>
    <font>
      <sz val="12"/>
      <color indexed="10"/>
      <name val="Tahoma"/>
      <family val="2"/>
    </font>
    <font>
      <b/>
      <sz val="10"/>
      <color indexed="10"/>
      <name val="Arial"/>
      <family val="2"/>
    </font>
    <font>
      <b/>
      <u/>
      <sz val="12"/>
      <color indexed="8"/>
      <name val="Tahoma"/>
      <family val="2"/>
    </font>
    <font>
      <b/>
      <u/>
      <sz val="12"/>
      <name val="Tahoma"/>
      <family val="2"/>
    </font>
    <font>
      <b/>
      <sz val="12"/>
      <color indexed="8"/>
      <name val="Tahoma"/>
      <family val="2"/>
    </font>
    <font>
      <b/>
      <sz val="10"/>
      <color rgb="FFFF0000"/>
      <name val="Tahoma"/>
      <family val="2"/>
    </font>
    <font>
      <sz val="14"/>
      <name val="Tahoma"/>
      <family val="2"/>
    </font>
    <font>
      <sz val="11"/>
      <color rgb="FFFF0000"/>
      <name val="Aptos Narrow"/>
      <family val="2"/>
      <scheme val="minor"/>
    </font>
    <font>
      <b/>
      <sz val="12"/>
      <color rgb="FFFF0000"/>
      <name val="Tahoma"/>
      <family val="2"/>
    </font>
    <font>
      <b/>
      <i/>
      <sz val="12"/>
      <color rgb="FFFF0000"/>
      <name val="Tahoma"/>
      <family val="2"/>
    </font>
    <font>
      <sz val="8"/>
      <name val="Aptos Narrow"/>
      <family val="2"/>
      <scheme val="minor"/>
    </font>
    <font>
      <b/>
      <sz val="12"/>
      <color theme="1"/>
      <name val="Tahoma"/>
      <family val="2"/>
    </font>
    <font>
      <i/>
      <sz val="11"/>
      <name val="Tahoma"/>
      <family val="2"/>
    </font>
    <font>
      <b/>
      <i/>
      <sz val="12"/>
      <color theme="1"/>
      <name val="Tahoma"/>
      <family val="2"/>
    </font>
    <font>
      <sz val="10"/>
      <color indexed="10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Tahoma"/>
      <family val="2"/>
    </font>
    <font>
      <b/>
      <sz val="11"/>
      <color rgb="FFFF0000"/>
      <name val="ADLaM Display"/>
    </font>
    <font>
      <b/>
      <sz val="12"/>
      <color rgb="FFFF0000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8F2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3" borderId="4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11" fillId="0" borderId="4" xfId="0" applyFont="1" applyBorder="1" applyAlignment="1" applyProtection="1">
      <alignment horizontal="center" vertical="center" wrapText="1"/>
      <protection locked="0"/>
    </xf>
    <xf numFmtId="164" fontId="6" fillId="3" borderId="0" xfId="0" applyNumberFormat="1" applyFont="1" applyFill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4" fillId="5" borderId="9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5" borderId="4" xfId="0" applyNumberFormat="1" applyFont="1" applyFill="1" applyBorder="1" applyAlignment="1" applyProtection="1">
      <alignment horizontal="center" vertical="center"/>
      <protection locked="0"/>
    </xf>
    <xf numFmtId="0" fontId="16" fillId="7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 applyProtection="1">
      <alignment horizontal="center" vertical="center"/>
      <protection locked="0"/>
    </xf>
    <xf numFmtId="0" fontId="29" fillId="5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 applyProtection="1">
      <alignment horizontal="center" vertical="center"/>
      <protection locked="0"/>
    </xf>
    <xf numFmtId="2" fontId="16" fillId="3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5" fillId="9" borderId="4" xfId="0" applyFont="1" applyFill="1" applyBorder="1" applyAlignment="1">
      <alignment horizontal="center" vertical="center"/>
    </xf>
    <xf numFmtId="2" fontId="7" fillId="3" borderId="4" xfId="0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4" xfId="0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4" fontId="4" fillId="4" borderId="8" xfId="0" applyNumberFormat="1" applyFont="1" applyFill="1" applyBorder="1" applyAlignment="1" applyProtection="1">
      <alignment horizontal="center" vertical="center"/>
      <protection locked="0"/>
    </xf>
    <xf numFmtId="14" fontId="4" fillId="4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21" fontId="12" fillId="2" borderId="0" xfId="0" applyNumberFormat="1" applyFont="1" applyFill="1" applyAlignment="1">
      <alignment horizontal="center" vertical="center"/>
    </xf>
    <xf numFmtId="22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9" fillId="5" borderId="8" xfId="0" applyFont="1" applyFill="1" applyBorder="1" applyAlignment="1" applyProtection="1">
      <alignment horizontal="center" vertical="center"/>
      <protection locked="0"/>
    </xf>
    <xf numFmtId="0" fontId="29" fillId="5" borderId="9" xfId="0" applyFont="1" applyFill="1" applyBorder="1" applyAlignment="1" applyProtection="1">
      <alignment horizontal="center" vertical="center"/>
      <protection locked="0"/>
    </xf>
    <xf numFmtId="0" fontId="33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27" fillId="5" borderId="4" xfId="0" applyFont="1" applyFill="1" applyBorder="1" applyAlignment="1" applyProtection="1">
      <alignment horizontal="center" vertical="center" wrapText="1"/>
      <protection locked="0"/>
    </xf>
    <xf numFmtId="0" fontId="36" fillId="5" borderId="4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24" fillId="5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center" vertical="center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6" fillId="0" borderId="9" xfId="0" applyFont="1" applyBorder="1" applyAlignment="1" applyProtection="1">
      <alignment horizontal="center" vertical="center" wrapText="1"/>
      <protection locked="0"/>
    </xf>
    <xf numFmtId="0" fontId="32" fillId="2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readingOrder="1"/>
    </xf>
    <xf numFmtId="22" fontId="14" fillId="2" borderId="2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1" fillId="5" borderId="8" xfId="0" applyFont="1" applyFill="1" applyBorder="1" applyAlignment="1" applyProtection="1">
      <alignment horizontal="center" vertical="center" wrapText="1"/>
      <protection locked="0"/>
    </xf>
    <xf numFmtId="0" fontId="31" fillId="5" borderId="12" xfId="0" applyFont="1" applyFill="1" applyBorder="1" applyAlignment="1" applyProtection="1">
      <alignment horizontal="center" vertical="center" wrapText="1"/>
      <protection locked="0"/>
    </xf>
    <xf numFmtId="0" fontId="31" fillId="5" borderId="9" xfId="0" applyFont="1" applyFill="1" applyBorder="1" applyAlignment="1" applyProtection="1">
      <alignment horizontal="center" vertical="center" wrapText="1"/>
      <protection locked="0"/>
    </xf>
    <xf numFmtId="0" fontId="30" fillId="5" borderId="4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164" fontId="11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26" fillId="5" borderId="8" xfId="0" applyFont="1" applyFill="1" applyBorder="1" applyAlignment="1" applyProtection="1">
      <alignment horizontal="center" vertical="center" wrapText="1"/>
      <protection locked="0"/>
    </xf>
    <xf numFmtId="0" fontId="26" fillId="5" borderId="9" xfId="0" applyFont="1" applyFill="1" applyBorder="1" applyAlignment="1" applyProtection="1">
      <alignment horizontal="center" vertical="center" wrapText="1"/>
      <protection locked="0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  <xf numFmtId="164" fontId="27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9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9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B6AA068F-76B4-472F-9BA3-38342C20A338}"/>
  </cellStyles>
  <dxfs count="0"/>
  <tableStyles count="0" defaultTableStyle="TableStyleMedium2" defaultPivotStyle="PivotStyleLight16"/>
  <colors>
    <mruColors>
      <color rgb="FFEC804A"/>
      <color rgb="FFC8F2F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5627-CCAE-4A2F-A8CB-C705EE374A8D}">
  <dimension ref="A1:U79"/>
  <sheetViews>
    <sheetView tabSelected="1" zoomScaleNormal="100" workbookViewId="0">
      <selection activeCell="N12" sqref="N12"/>
    </sheetView>
  </sheetViews>
  <sheetFormatPr baseColWidth="10" defaultRowHeight="15" x14ac:dyDescent="0.25"/>
  <cols>
    <col min="1" max="1" width="14.28515625" style="7" customWidth="1"/>
    <col min="2" max="2" width="14.5703125" style="7" customWidth="1"/>
    <col min="3" max="3" width="11.5703125" style="7" bestFit="1" customWidth="1"/>
    <col min="4" max="4" width="11.42578125" style="7" customWidth="1"/>
    <col min="5" max="6" width="10.7109375" style="7" customWidth="1"/>
    <col min="7" max="8" width="11.5703125" style="7" bestFit="1" customWidth="1"/>
    <col min="9" max="9" width="42.7109375" style="7" customWidth="1"/>
    <col min="10" max="10" width="44.140625" style="7" customWidth="1"/>
    <col min="11" max="11" width="48.28515625" style="7" customWidth="1"/>
    <col min="12" max="12" width="10.7109375" style="7" customWidth="1"/>
    <col min="13" max="13" width="5.7109375" style="7" customWidth="1"/>
    <col min="14" max="19" width="10.7109375" style="7" customWidth="1"/>
    <col min="20" max="27" width="7.7109375" style="7" customWidth="1"/>
    <col min="28" max="257" width="11.42578125" style="7"/>
    <col min="258" max="258" width="12.5703125" style="7" customWidth="1"/>
    <col min="259" max="259" width="19.140625" style="7" customWidth="1"/>
    <col min="260" max="264" width="10.7109375" style="7" customWidth="1"/>
    <col min="265" max="265" width="134.42578125" style="7" customWidth="1"/>
    <col min="266" max="267" width="0" style="7" hidden="1" customWidth="1"/>
    <col min="268" max="275" width="10.7109375" style="7" customWidth="1"/>
    <col min="276" max="283" width="7.7109375" style="7" customWidth="1"/>
    <col min="284" max="513" width="11.42578125" style="7"/>
    <col min="514" max="514" width="12.5703125" style="7" customWidth="1"/>
    <col min="515" max="515" width="19.140625" style="7" customWidth="1"/>
    <col min="516" max="520" width="10.7109375" style="7" customWidth="1"/>
    <col min="521" max="521" width="134.42578125" style="7" customWidth="1"/>
    <col min="522" max="523" width="0" style="7" hidden="1" customWidth="1"/>
    <col min="524" max="531" width="10.7109375" style="7" customWidth="1"/>
    <col min="532" max="539" width="7.7109375" style="7" customWidth="1"/>
    <col min="540" max="769" width="11.42578125" style="7"/>
    <col min="770" max="770" width="12.5703125" style="7" customWidth="1"/>
    <col min="771" max="771" width="19.140625" style="7" customWidth="1"/>
    <col min="772" max="776" width="10.7109375" style="7" customWidth="1"/>
    <col min="777" max="777" width="134.42578125" style="7" customWidth="1"/>
    <col min="778" max="779" width="0" style="7" hidden="1" customWidth="1"/>
    <col min="780" max="787" width="10.7109375" style="7" customWidth="1"/>
    <col min="788" max="795" width="7.7109375" style="7" customWidth="1"/>
    <col min="796" max="1025" width="11.42578125" style="7"/>
    <col min="1026" max="1026" width="12.5703125" style="7" customWidth="1"/>
    <col min="1027" max="1027" width="19.140625" style="7" customWidth="1"/>
    <col min="1028" max="1032" width="10.7109375" style="7" customWidth="1"/>
    <col min="1033" max="1033" width="134.42578125" style="7" customWidth="1"/>
    <col min="1034" max="1035" width="0" style="7" hidden="1" customWidth="1"/>
    <col min="1036" max="1043" width="10.7109375" style="7" customWidth="1"/>
    <col min="1044" max="1051" width="7.7109375" style="7" customWidth="1"/>
    <col min="1052" max="1281" width="11.42578125" style="7"/>
    <col min="1282" max="1282" width="12.5703125" style="7" customWidth="1"/>
    <col min="1283" max="1283" width="19.140625" style="7" customWidth="1"/>
    <col min="1284" max="1288" width="10.7109375" style="7" customWidth="1"/>
    <col min="1289" max="1289" width="134.42578125" style="7" customWidth="1"/>
    <col min="1290" max="1291" width="0" style="7" hidden="1" customWidth="1"/>
    <col min="1292" max="1299" width="10.7109375" style="7" customWidth="1"/>
    <col min="1300" max="1307" width="7.7109375" style="7" customWidth="1"/>
    <col min="1308" max="1537" width="11.42578125" style="7"/>
    <col min="1538" max="1538" width="12.5703125" style="7" customWidth="1"/>
    <col min="1539" max="1539" width="19.140625" style="7" customWidth="1"/>
    <col min="1540" max="1544" width="10.7109375" style="7" customWidth="1"/>
    <col min="1545" max="1545" width="134.42578125" style="7" customWidth="1"/>
    <col min="1546" max="1547" width="0" style="7" hidden="1" customWidth="1"/>
    <col min="1548" max="1555" width="10.7109375" style="7" customWidth="1"/>
    <col min="1556" max="1563" width="7.7109375" style="7" customWidth="1"/>
    <col min="1564" max="1793" width="11.42578125" style="7"/>
    <col min="1794" max="1794" width="12.5703125" style="7" customWidth="1"/>
    <col min="1795" max="1795" width="19.140625" style="7" customWidth="1"/>
    <col min="1796" max="1800" width="10.7109375" style="7" customWidth="1"/>
    <col min="1801" max="1801" width="134.42578125" style="7" customWidth="1"/>
    <col min="1802" max="1803" width="0" style="7" hidden="1" customWidth="1"/>
    <col min="1804" max="1811" width="10.7109375" style="7" customWidth="1"/>
    <col min="1812" max="1819" width="7.7109375" style="7" customWidth="1"/>
    <col min="1820" max="2049" width="11.42578125" style="7"/>
    <col min="2050" max="2050" width="12.5703125" style="7" customWidth="1"/>
    <col min="2051" max="2051" width="19.140625" style="7" customWidth="1"/>
    <col min="2052" max="2056" width="10.7109375" style="7" customWidth="1"/>
    <col min="2057" max="2057" width="134.42578125" style="7" customWidth="1"/>
    <col min="2058" max="2059" width="0" style="7" hidden="1" customWidth="1"/>
    <col min="2060" max="2067" width="10.7109375" style="7" customWidth="1"/>
    <col min="2068" max="2075" width="7.7109375" style="7" customWidth="1"/>
    <col min="2076" max="2305" width="11.42578125" style="7"/>
    <col min="2306" max="2306" width="12.5703125" style="7" customWidth="1"/>
    <col min="2307" max="2307" width="19.140625" style="7" customWidth="1"/>
    <col min="2308" max="2312" width="10.7109375" style="7" customWidth="1"/>
    <col min="2313" max="2313" width="134.42578125" style="7" customWidth="1"/>
    <col min="2314" max="2315" width="0" style="7" hidden="1" customWidth="1"/>
    <col min="2316" max="2323" width="10.7109375" style="7" customWidth="1"/>
    <col min="2324" max="2331" width="7.7109375" style="7" customWidth="1"/>
    <col min="2332" max="2561" width="11.42578125" style="7"/>
    <col min="2562" max="2562" width="12.5703125" style="7" customWidth="1"/>
    <col min="2563" max="2563" width="19.140625" style="7" customWidth="1"/>
    <col min="2564" max="2568" width="10.7109375" style="7" customWidth="1"/>
    <col min="2569" max="2569" width="134.42578125" style="7" customWidth="1"/>
    <col min="2570" max="2571" width="0" style="7" hidden="1" customWidth="1"/>
    <col min="2572" max="2579" width="10.7109375" style="7" customWidth="1"/>
    <col min="2580" max="2587" width="7.7109375" style="7" customWidth="1"/>
    <col min="2588" max="2817" width="11.42578125" style="7"/>
    <col min="2818" max="2818" width="12.5703125" style="7" customWidth="1"/>
    <col min="2819" max="2819" width="19.140625" style="7" customWidth="1"/>
    <col min="2820" max="2824" width="10.7109375" style="7" customWidth="1"/>
    <col min="2825" max="2825" width="134.42578125" style="7" customWidth="1"/>
    <col min="2826" max="2827" width="0" style="7" hidden="1" customWidth="1"/>
    <col min="2828" max="2835" width="10.7109375" style="7" customWidth="1"/>
    <col min="2836" max="2843" width="7.7109375" style="7" customWidth="1"/>
    <col min="2844" max="3073" width="11.42578125" style="7"/>
    <col min="3074" max="3074" width="12.5703125" style="7" customWidth="1"/>
    <col min="3075" max="3075" width="19.140625" style="7" customWidth="1"/>
    <col min="3076" max="3080" width="10.7109375" style="7" customWidth="1"/>
    <col min="3081" max="3081" width="134.42578125" style="7" customWidth="1"/>
    <col min="3082" max="3083" width="0" style="7" hidden="1" customWidth="1"/>
    <col min="3084" max="3091" width="10.7109375" style="7" customWidth="1"/>
    <col min="3092" max="3099" width="7.7109375" style="7" customWidth="1"/>
    <col min="3100" max="3329" width="11.42578125" style="7"/>
    <col min="3330" max="3330" width="12.5703125" style="7" customWidth="1"/>
    <col min="3331" max="3331" width="19.140625" style="7" customWidth="1"/>
    <col min="3332" max="3336" width="10.7109375" style="7" customWidth="1"/>
    <col min="3337" max="3337" width="134.42578125" style="7" customWidth="1"/>
    <col min="3338" max="3339" width="0" style="7" hidden="1" customWidth="1"/>
    <col min="3340" max="3347" width="10.7109375" style="7" customWidth="1"/>
    <col min="3348" max="3355" width="7.7109375" style="7" customWidth="1"/>
    <col min="3356" max="3585" width="11.42578125" style="7"/>
    <col min="3586" max="3586" width="12.5703125" style="7" customWidth="1"/>
    <col min="3587" max="3587" width="19.140625" style="7" customWidth="1"/>
    <col min="3588" max="3592" width="10.7109375" style="7" customWidth="1"/>
    <col min="3593" max="3593" width="134.42578125" style="7" customWidth="1"/>
    <col min="3594" max="3595" width="0" style="7" hidden="1" customWidth="1"/>
    <col min="3596" max="3603" width="10.7109375" style="7" customWidth="1"/>
    <col min="3604" max="3611" width="7.7109375" style="7" customWidth="1"/>
    <col min="3612" max="3841" width="11.42578125" style="7"/>
    <col min="3842" max="3842" width="12.5703125" style="7" customWidth="1"/>
    <col min="3843" max="3843" width="19.140625" style="7" customWidth="1"/>
    <col min="3844" max="3848" width="10.7109375" style="7" customWidth="1"/>
    <col min="3849" max="3849" width="134.42578125" style="7" customWidth="1"/>
    <col min="3850" max="3851" width="0" style="7" hidden="1" customWidth="1"/>
    <col min="3852" max="3859" width="10.7109375" style="7" customWidth="1"/>
    <col min="3860" max="3867" width="7.7109375" style="7" customWidth="1"/>
    <col min="3868" max="4097" width="11.42578125" style="7"/>
    <col min="4098" max="4098" width="12.5703125" style="7" customWidth="1"/>
    <col min="4099" max="4099" width="19.140625" style="7" customWidth="1"/>
    <col min="4100" max="4104" width="10.7109375" style="7" customWidth="1"/>
    <col min="4105" max="4105" width="134.42578125" style="7" customWidth="1"/>
    <col min="4106" max="4107" width="0" style="7" hidden="1" customWidth="1"/>
    <col min="4108" max="4115" width="10.7109375" style="7" customWidth="1"/>
    <col min="4116" max="4123" width="7.7109375" style="7" customWidth="1"/>
    <col min="4124" max="4353" width="11.42578125" style="7"/>
    <col min="4354" max="4354" width="12.5703125" style="7" customWidth="1"/>
    <col min="4355" max="4355" width="19.140625" style="7" customWidth="1"/>
    <col min="4356" max="4360" width="10.7109375" style="7" customWidth="1"/>
    <col min="4361" max="4361" width="134.42578125" style="7" customWidth="1"/>
    <col min="4362" max="4363" width="0" style="7" hidden="1" customWidth="1"/>
    <col min="4364" max="4371" width="10.7109375" style="7" customWidth="1"/>
    <col min="4372" max="4379" width="7.7109375" style="7" customWidth="1"/>
    <col min="4380" max="4609" width="11.42578125" style="7"/>
    <col min="4610" max="4610" width="12.5703125" style="7" customWidth="1"/>
    <col min="4611" max="4611" width="19.140625" style="7" customWidth="1"/>
    <col min="4612" max="4616" width="10.7109375" style="7" customWidth="1"/>
    <col min="4617" max="4617" width="134.42578125" style="7" customWidth="1"/>
    <col min="4618" max="4619" width="0" style="7" hidden="1" customWidth="1"/>
    <col min="4620" max="4627" width="10.7109375" style="7" customWidth="1"/>
    <col min="4628" max="4635" width="7.7109375" style="7" customWidth="1"/>
    <col min="4636" max="4865" width="11.42578125" style="7"/>
    <col min="4866" max="4866" width="12.5703125" style="7" customWidth="1"/>
    <col min="4867" max="4867" width="19.140625" style="7" customWidth="1"/>
    <col min="4868" max="4872" width="10.7109375" style="7" customWidth="1"/>
    <col min="4873" max="4873" width="134.42578125" style="7" customWidth="1"/>
    <col min="4874" max="4875" width="0" style="7" hidden="1" customWidth="1"/>
    <col min="4876" max="4883" width="10.7109375" style="7" customWidth="1"/>
    <col min="4884" max="4891" width="7.7109375" style="7" customWidth="1"/>
    <col min="4892" max="5121" width="11.42578125" style="7"/>
    <col min="5122" max="5122" width="12.5703125" style="7" customWidth="1"/>
    <col min="5123" max="5123" width="19.140625" style="7" customWidth="1"/>
    <col min="5124" max="5128" width="10.7109375" style="7" customWidth="1"/>
    <col min="5129" max="5129" width="134.42578125" style="7" customWidth="1"/>
    <col min="5130" max="5131" width="0" style="7" hidden="1" customWidth="1"/>
    <col min="5132" max="5139" width="10.7109375" style="7" customWidth="1"/>
    <col min="5140" max="5147" width="7.7109375" style="7" customWidth="1"/>
    <col min="5148" max="5377" width="11.42578125" style="7"/>
    <col min="5378" max="5378" width="12.5703125" style="7" customWidth="1"/>
    <col min="5379" max="5379" width="19.140625" style="7" customWidth="1"/>
    <col min="5380" max="5384" width="10.7109375" style="7" customWidth="1"/>
    <col min="5385" max="5385" width="134.42578125" style="7" customWidth="1"/>
    <col min="5386" max="5387" width="0" style="7" hidden="1" customWidth="1"/>
    <col min="5388" max="5395" width="10.7109375" style="7" customWidth="1"/>
    <col min="5396" max="5403" width="7.7109375" style="7" customWidth="1"/>
    <col min="5404" max="5633" width="11.42578125" style="7"/>
    <col min="5634" max="5634" width="12.5703125" style="7" customWidth="1"/>
    <col min="5635" max="5635" width="19.140625" style="7" customWidth="1"/>
    <col min="5636" max="5640" width="10.7109375" style="7" customWidth="1"/>
    <col min="5641" max="5641" width="134.42578125" style="7" customWidth="1"/>
    <col min="5642" max="5643" width="0" style="7" hidden="1" customWidth="1"/>
    <col min="5644" max="5651" width="10.7109375" style="7" customWidth="1"/>
    <col min="5652" max="5659" width="7.7109375" style="7" customWidth="1"/>
    <col min="5660" max="5889" width="11.42578125" style="7"/>
    <col min="5890" max="5890" width="12.5703125" style="7" customWidth="1"/>
    <col min="5891" max="5891" width="19.140625" style="7" customWidth="1"/>
    <col min="5892" max="5896" width="10.7109375" style="7" customWidth="1"/>
    <col min="5897" max="5897" width="134.42578125" style="7" customWidth="1"/>
    <col min="5898" max="5899" width="0" style="7" hidden="1" customWidth="1"/>
    <col min="5900" max="5907" width="10.7109375" style="7" customWidth="1"/>
    <col min="5908" max="5915" width="7.7109375" style="7" customWidth="1"/>
    <col min="5916" max="6145" width="11.42578125" style="7"/>
    <col min="6146" max="6146" width="12.5703125" style="7" customWidth="1"/>
    <col min="6147" max="6147" width="19.140625" style="7" customWidth="1"/>
    <col min="6148" max="6152" width="10.7109375" style="7" customWidth="1"/>
    <col min="6153" max="6153" width="134.42578125" style="7" customWidth="1"/>
    <col min="6154" max="6155" width="0" style="7" hidden="1" customWidth="1"/>
    <col min="6156" max="6163" width="10.7109375" style="7" customWidth="1"/>
    <col min="6164" max="6171" width="7.7109375" style="7" customWidth="1"/>
    <col min="6172" max="6401" width="11.42578125" style="7"/>
    <col min="6402" max="6402" width="12.5703125" style="7" customWidth="1"/>
    <col min="6403" max="6403" width="19.140625" style="7" customWidth="1"/>
    <col min="6404" max="6408" width="10.7109375" style="7" customWidth="1"/>
    <col min="6409" max="6409" width="134.42578125" style="7" customWidth="1"/>
    <col min="6410" max="6411" width="0" style="7" hidden="1" customWidth="1"/>
    <col min="6412" max="6419" width="10.7109375" style="7" customWidth="1"/>
    <col min="6420" max="6427" width="7.7109375" style="7" customWidth="1"/>
    <col min="6428" max="6657" width="11.42578125" style="7"/>
    <col min="6658" max="6658" width="12.5703125" style="7" customWidth="1"/>
    <col min="6659" max="6659" width="19.140625" style="7" customWidth="1"/>
    <col min="6660" max="6664" width="10.7109375" style="7" customWidth="1"/>
    <col min="6665" max="6665" width="134.42578125" style="7" customWidth="1"/>
    <col min="6666" max="6667" width="0" style="7" hidden="1" customWidth="1"/>
    <col min="6668" max="6675" width="10.7109375" style="7" customWidth="1"/>
    <col min="6676" max="6683" width="7.7109375" style="7" customWidth="1"/>
    <col min="6684" max="6913" width="11.42578125" style="7"/>
    <col min="6914" max="6914" width="12.5703125" style="7" customWidth="1"/>
    <col min="6915" max="6915" width="19.140625" style="7" customWidth="1"/>
    <col min="6916" max="6920" width="10.7109375" style="7" customWidth="1"/>
    <col min="6921" max="6921" width="134.42578125" style="7" customWidth="1"/>
    <col min="6922" max="6923" width="0" style="7" hidden="1" customWidth="1"/>
    <col min="6924" max="6931" width="10.7109375" style="7" customWidth="1"/>
    <col min="6932" max="6939" width="7.7109375" style="7" customWidth="1"/>
    <col min="6940" max="7169" width="11.42578125" style="7"/>
    <col min="7170" max="7170" width="12.5703125" style="7" customWidth="1"/>
    <col min="7171" max="7171" width="19.140625" style="7" customWidth="1"/>
    <col min="7172" max="7176" width="10.7109375" style="7" customWidth="1"/>
    <col min="7177" max="7177" width="134.42578125" style="7" customWidth="1"/>
    <col min="7178" max="7179" width="0" style="7" hidden="1" customWidth="1"/>
    <col min="7180" max="7187" width="10.7109375" style="7" customWidth="1"/>
    <col min="7188" max="7195" width="7.7109375" style="7" customWidth="1"/>
    <col min="7196" max="7425" width="11.42578125" style="7"/>
    <col min="7426" max="7426" width="12.5703125" style="7" customWidth="1"/>
    <col min="7427" max="7427" width="19.140625" style="7" customWidth="1"/>
    <col min="7428" max="7432" width="10.7109375" style="7" customWidth="1"/>
    <col min="7433" max="7433" width="134.42578125" style="7" customWidth="1"/>
    <col min="7434" max="7435" width="0" style="7" hidden="1" customWidth="1"/>
    <col min="7436" max="7443" width="10.7109375" style="7" customWidth="1"/>
    <col min="7444" max="7451" width="7.7109375" style="7" customWidth="1"/>
    <col min="7452" max="7681" width="11.42578125" style="7"/>
    <col min="7682" max="7682" width="12.5703125" style="7" customWidth="1"/>
    <col min="7683" max="7683" width="19.140625" style="7" customWidth="1"/>
    <col min="7684" max="7688" width="10.7109375" style="7" customWidth="1"/>
    <col min="7689" max="7689" width="134.42578125" style="7" customWidth="1"/>
    <col min="7690" max="7691" width="0" style="7" hidden="1" customWidth="1"/>
    <col min="7692" max="7699" width="10.7109375" style="7" customWidth="1"/>
    <col min="7700" max="7707" width="7.7109375" style="7" customWidth="1"/>
    <col min="7708" max="7937" width="11.42578125" style="7"/>
    <col min="7938" max="7938" width="12.5703125" style="7" customWidth="1"/>
    <col min="7939" max="7939" width="19.140625" style="7" customWidth="1"/>
    <col min="7940" max="7944" width="10.7109375" style="7" customWidth="1"/>
    <col min="7945" max="7945" width="134.42578125" style="7" customWidth="1"/>
    <col min="7946" max="7947" width="0" style="7" hidden="1" customWidth="1"/>
    <col min="7948" max="7955" width="10.7109375" style="7" customWidth="1"/>
    <col min="7956" max="7963" width="7.7109375" style="7" customWidth="1"/>
    <col min="7964" max="8193" width="11.42578125" style="7"/>
    <col min="8194" max="8194" width="12.5703125" style="7" customWidth="1"/>
    <col min="8195" max="8195" width="19.140625" style="7" customWidth="1"/>
    <col min="8196" max="8200" width="10.7109375" style="7" customWidth="1"/>
    <col min="8201" max="8201" width="134.42578125" style="7" customWidth="1"/>
    <col min="8202" max="8203" width="0" style="7" hidden="1" customWidth="1"/>
    <col min="8204" max="8211" width="10.7109375" style="7" customWidth="1"/>
    <col min="8212" max="8219" width="7.7109375" style="7" customWidth="1"/>
    <col min="8220" max="8449" width="11.42578125" style="7"/>
    <col min="8450" max="8450" width="12.5703125" style="7" customWidth="1"/>
    <col min="8451" max="8451" width="19.140625" style="7" customWidth="1"/>
    <col min="8452" max="8456" width="10.7109375" style="7" customWidth="1"/>
    <col min="8457" max="8457" width="134.42578125" style="7" customWidth="1"/>
    <col min="8458" max="8459" width="0" style="7" hidden="1" customWidth="1"/>
    <col min="8460" max="8467" width="10.7109375" style="7" customWidth="1"/>
    <col min="8468" max="8475" width="7.7109375" style="7" customWidth="1"/>
    <col min="8476" max="8705" width="11.42578125" style="7"/>
    <col min="8706" max="8706" width="12.5703125" style="7" customWidth="1"/>
    <col min="8707" max="8707" width="19.140625" style="7" customWidth="1"/>
    <col min="8708" max="8712" width="10.7109375" style="7" customWidth="1"/>
    <col min="8713" max="8713" width="134.42578125" style="7" customWidth="1"/>
    <col min="8714" max="8715" width="0" style="7" hidden="1" customWidth="1"/>
    <col min="8716" max="8723" width="10.7109375" style="7" customWidth="1"/>
    <col min="8724" max="8731" width="7.7109375" style="7" customWidth="1"/>
    <col min="8732" max="8961" width="11.42578125" style="7"/>
    <col min="8962" max="8962" width="12.5703125" style="7" customWidth="1"/>
    <col min="8963" max="8963" width="19.140625" style="7" customWidth="1"/>
    <col min="8964" max="8968" width="10.7109375" style="7" customWidth="1"/>
    <col min="8969" max="8969" width="134.42578125" style="7" customWidth="1"/>
    <col min="8970" max="8971" width="0" style="7" hidden="1" customWidth="1"/>
    <col min="8972" max="8979" width="10.7109375" style="7" customWidth="1"/>
    <col min="8980" max="8987" width="7.7109375" style="7" customWidth="1"/>
    <col min="8988" max="9217" width="11.42578125" style="7"/>
    <col min="9218" max="9218" width="12.5703125" style="7" customWidth="1"/>
    <col min="9219" max="9219" width="19.140625" style="7" customWidth="1"/>
    <col min="9220" max="9224" width="10.7109375" style="7" customWidth="1"/>
    <col min="9225" max="9225" width="134.42578125" style="7" customWidth="1"/>
    <col min="9226" max="9227" width="0" style="7" hidden="1" customWidth="1"/>
    <col min="9228" max="9235" width="10.7109375" style="7" customWidth="1"/>
    <col min="9236" max="9243" width="7.7109375" style="7" customWidth="1"/>
    <col min="9244" max="9473" width="11.42578125" style="7"/>
    <col min="9474" max="9474" width="12.5703125" style="7" customWidth="1"/>
    <col min="9475" max="9475" width="19.140625" style="7" customWidth="1"/>
    <col min="9476" max="9480" width="10.7109375" style="7" customWidth="1"/>
    <col min="9481" max="9481" width="134.42578125" style="7" customWidth="1"/>
    <col min="9482" max="9483" width="0" style="7" hidden="1" customWidth="1"/>
    <col min="9484" max="9491" width="10.7109375" style="7" customWidth="1"/>
    <col min="9492" max="9499" width="7.7109375" style="7" customWidth="1"/>
    <col min="9500" max="9729" width="11.42578125" style="7"/>
    <col min="9730" max="9730" width="12.5703125" style="7" customWidth="1"/>
    <col min="9731" max="9731" width="19.140625" style="7" customWidth="1"/>
    <col min="9732" max="9736" width="10.7109375" style="7" customWidth="1"/>
    <col min="9737" max="9737" width="134.42578125" style="7" customWidth="1"/>
    <col min="9738" max="9739" width="0" style="7" hidden="1" customWidth="1"/>
    <col min="9740" max="9747" width="10.7109375" style="7" customWidth="1"/>
    <col min="9748" max="9755" width="7.7109375" style="7" customWidth="1"/>
    <col min="9756" max="9985" width="11.42578125" style="7"/>
    <col min="9986" max="9986" width="12.5703125" style="7" customWidth="1"/>
    <col min="9987" max="9987" width="19.140625" style="7" customWidth="1"/>
    <col min="9988" max="9992" width="10.7109375" style="7" customWidth="1"/>
    <col min="9993" max="9993" width="134.42578125" style="7" customWidth="1"/>
    <col min="9994" max="9995" width="0" style="7" hidden="1" customWidth="1"/>
    <col min="9996" max="10003" width="10.7109375" style="7" customWidth="1"/>
    <col min="10004" max="10011" width="7.7109375" style="7" customWidth="1"/>
    <col min="10012" max="10241" width="11.42578125" style="7"/>
    <col min="10242" max="10242" width="12.5703125" style="7" customWidth="1"/>
    <col min="10243" max="10243" width="19.140625" style="7" customWidth="1"/>
    <col min="10244" max="10248" width="10.7109375" style="7" customWidth="1"/>
    <col min="10249" max="10249" width="134.42578125" style="7" customWidth="1"/>
    <col min="10250" max="10251" width="0" style="7" hidden="1" customWidth="1"/>
    <col min="10252" max="10259" width="10.7109375" style="7" customWidth="1"/>
    <col min="10260" max="10267" width="7.7109375" style="7" customWidth="1"/>
    <col min="10268" max="10497" width="11.42578125" style="7"/>
    <col min="10498" max="10498" width="12.5703125" style="7" customWidth="1"/>
    <col min="10499" max="10499" width="19.140625" style="7" customWidth="1"/>
    <col min="10500" max="10504" width="10.7109375" style="7" customWidth="1"/>
    <col min="10505" max="10505" width="134.42578125" style="7" customWidth="1"/>
    <col min="10506" max="10507" width="0" style="7" hidden="1" customWidth="1"/>
    <col min="10508" max="10515" width="10.7109375" style="7" customWidth="1"/>
    <col min="10516" max="10523" width="7.7109375" style="7" customWidth="1"/>
    <col min="10524" max="10753" width="11.42578125" style="7"/>
    <col min="10754" max="10754" width="12.5703125" style="7" customWidth="1"/>
    <col min="10755" max="10755" width="19.140625" style="7" customWidth="1"/>
    <col min="10756" max="10760" width="10.7109375" style="7" customWidth="1"/>
    <col min="10761" max="10761" width="134.42578125" style="7" customWidth="1"/>
    <col min="10762" max="10763" width="0" style="7" hidden="1" customWidth="1"/>
    <col min="10764" max="10771" width="10.7109375" style="7" customWidth="1"/>
    <col min="10772" max="10779" width="7.7109375" style="7" customWidth="1"/>
    <col min="10780" max="11009" width="11.42578125" style="7"/>
    <col min="11010" max="11010" width="12.5703125" style="7" customWidth="1"/>
    <col min="11011" max="11011" width="19.140625" style="7" customWidth="1"/>
    <col min="11012" max="11016" width="10.7109375" style="7" customWidth="1"/>
    <col min="11017" max="11017" width="134.42578125" style="7" customWidth="1"/>
    <col min="11018" max="11019" width="0" style="7" hidden="1" customWidth="1"/>
    <col min="11020" max="11027" width="10.7109375" style="7" customWidth="1"/>
    <col min="11028" max="11035" width="7.7109375" style="7" customWidth="1"/>
    <col min="11036" max="11265" width="11.42578125" style="7"/>
    <col min="11266" max="11266" width="12.5703125" style="7" customWidth="1"/>
    <col min="11267" max="11267" width="19.140625" style="7" customWidth="1"/>
    <col min="11268" max="11272" width="10.7109375" style="7" customWidth="1"/>
    <col min="11273" max="11273" width="134.42578125" style="7" customWidth="1"/>
    <col min="11274" max="11275" width="0" style="7" hidden="1" customWidth="1"/>
    <col min="11276" max="11283" width="10.7109375" style="7" customWidth="1"/>
    <col min="11284" max="11291" width="7.7109375" style="7" customWidth="1"/>
    <col min="11292" max="11521" width="11.42578125" style="7"/>
    <col min="11522" max="11522" width="12.5703125" style="7" customWidth="1"/>
    <col min="11523" max="11523" width="19.140625" style="7" customWidth="1"/>
    <col min="11524" max="11528" width="10.7109375" style="7" customWidth="1"/>
    <col min="11529" max="11529" width="134.42578125" style="7" customWidth="1"/>
    <col min="11530" max="11531" width="0" style="7" hidden="1" customWidth="1"/>
    <col min="11532" max="11539" width="10.7109375" style="7" customWidth="1"/>
    <col min="11540" max="11547" width="7.7109375" style="7" customWidth="1"/>
    <col min="11548" max="11777" width="11.42578125" style="7"/>
    <col min="11778" max="11778" width="12.5703125" style="7" customWidth="1"/>
    <col min="11779" max="11779" width="19.140625" style="7" customWidth="1"/>
    <col min="11780" max="11784" width="10.7109375" style="7" customWidth="1"/>
    <col min="11785" max="11785" width="134.42578125" style="7" customWidth="1"/>
    <col min="11786" max="11787" width="0" style="7" hidden="1" customWidth="1"/>
    <col min="11788" max="11795" width="10.7109375" style="7" customWidth="1"/>
    <col min="11796" max="11803" width="7.7109375" style="7" customWidth="1"/>
    <col min="11804" max="12033" width="11.42578125" style="7"/>
    <col min="12034" max="12034" width="12.5703125" style="7" customWidth="1"/>
    <col min="12035" max="12035" width="19.140625" style="7" customWidth="1"/>
    <col min="12036" max="12040" width="10.7109375" style="7" customWidth="1"/>
    <col min="12041" max="12041" width="134.42578125" style="7" customWidth="1"/>
    <col min="12042" max="12043" width="0" style="7" hidden="1" customWidth="1"/>
    <col min="12044" max="12051" width="10.7109375" style="7" customWidth="1"/>
    <col min="12052" max="12059" width="7.7109375" style="7" customWidth="1"/>
    <col min="12060" max="12289" width="11.42578125" style="7"/>
    <col min="12290" max="12290" width="12.5703125" style="7" customWidth="1"/>
    <col min="12291" max="12291" width="19.140625" style="7" customWidth="1"/>
    <col min="12292" max="12296" width="10.7109375" style="7" customWidth="1"/>
    <col min="12297" max="12297" width="134.42578125" style="7" customWidth="1"/>
    <col min="12298" max="12299" width="0" style="7" hidden="1" customWidth="1"/>
    <col min="12300" max="12307" width="10.7109375" style="7" customWidth="1"/>
    <col min="12308" max="12315" width="7.7109375" style="7" customWidth="1"/>
    <col min="12316" max="12545" width="11.42578125" style="7"/>
    <col min="12546" max="12546" width="12.5703125" style="7" customWidth="1"/>
    <col min="12547" max="12547" width="19.140625" style="7" customWidth="1"/>
    <col min="12548" max="12552" width="10.7109375" style="7" customWidth="1"/>
    <col min="12553" max="12553" width="134.42578125" style="7" customWidth="1"/>
    <col min="12554" max="12555" width="0" style="7" hidden="1" customWidth="1"/>
    <col min="12556" max="12563" width="10.7109375" style="7" customWidth="1"/>
    <col min="12564" max="12571" width="7.7109375" style="7" customWidth="1"/>
    <col min="12572" max="12801" width="11.42578125" style="7"/>
    <col min="12802" max="12802" width="12.5703125" style="7" customWidth="1"/>
    <col min="12803" max="12803" width="19.140625" style="7" customWidth="1"/>
    <col min="12804" max="12808" width="10.7109375" style="7" customWidth="1"/>
    <col min="12809" max="12809" width="134.42578125" style="7" customWidth="1"/>
    <col min="12810" max="12811" width="0" style="7" hidden="1" customWidth="1"/>
    <col min="12812" max="12819" width="10.7109375" style="7" customWidth="1"/>
    <col min="12820" max="12827" width="7.7109375" style="7" customWidth="1"/>
    <col min="12828" max="13057" width="11.42578125" style="7"/>
    <col min="13058" max="13058" width="12.5703125" style="7" customWidth="1"/>
    <col min="13059" max="13059" width="19.140625" style="7" customWidth="1"/>
    <col min="13060" max="13064" width="10.7109375" style="7" customWidth="1"/>
    <col min="13065" max="13065" width="134.42578125" style="7" customWidth="1"/>
    <col min="13066" max="13067" width="0" style="7" hidden="1" customWidth="1"/>
    <col min="13068" max="13075" width="10.7109375" style="7" customWidth="1"/>
    <col min="13076" max="13083" width="7.7109375" style="7" customWidth="1"/>
    <col min="13084" max="13313" width="11.42578125" style="7"/>
    <col min="13314" max="13314" width="12.5703125" style="7" customWidth="1"/>
    <col min="13315" max="13315" width="19.140625" style="7" customWidth="1"/>
    <col min="13316" max="13320" width="10.7109375" style="7" customWidth="1"/>
    <col min="13321" max="13321" width="134.42578125" style="7" customWidth="1"/>
    <col min="13322" max="13323" width="0" style="7" hidden="1" customWidth="1"/>
    <col min="13324" max="13331" width="10.7109375" style="7" customWidth="1"/>
    <col min="13332" max="13339" width="7.7109375" style="7" customWidth="1"/>
    <col min="13340" max="13569" width="11.42578125" style="7"/>
    <col min="13570" max="13570" width="12.5703125" style="7" customWidth="1"/>
    <col min="13571" max="13571" width="19.140625" style="7" customWidth="1"/>
    <col min="13572" max="13576" width="10.7109375" style="7" customWidth="1"/>
    <col min="13577" max="13577" width="134.42578125" style="7" customWidth="1"/>
    <col min="13578" max="13579" width="0" style="7" hidden="1" customWidth="1"/>
    <col min="13580" max="13587" width="10.7109375" style="7" customWidth="1"/>
    <col min="13588" max="13595" width="7.7109375" style="7" customWidth="1"/>
    <col min="13596" max="13825" width="11.42578125" style="7"/>
    <col min="13826" max="13826" width="12.5703125" style="7" customWidth="1"/>
    <col min="13827" max="13827" width="19.140625" style="7" customWidth="1"/>
    <col min="13828" max="13832" width="10.7109375" style="7" customWidth="1"/>
    <col min="13833" max="13833" width="134.42578125" style="7" customWidth="1"/>
    <col min="13834" max="13835" width="0" style="7" hidden="1" customWidth="1"/>
    <col min="13836" max="13843" width="10.7109375" style="7" customWidth="1"/>
    <col min="13844" max="13851" width="7.7109375" style="7" customWidth="1"/>
    <col min="13852" max="14081" width="11.42578125" style="7"/>
    <col min="14082" max="14082" width="12.5703125" style="7" customWidth="1"/>
    <col min="14083" max="14083" width="19.140625" style="7" customWidth="1"/>
    <col min="14084" max="14088" width="10.7109375" style="7" customWidth="1"/>
    <col min="14089" max="14089" width="134.42578125" style="7" customWidth="1"/>
    <col min="14090" max="14091" width="0" style="7" hidden="1" customWidth="1"/>
    <col min="14092" max="14099" width="10.7109375" style="7" customWidth="1"/>
    <col min="14100" max="14107" width="7.7109375" style="7" customWidth="1"/>
    <col min="14108" max="14337" width="11.42578125" style="7"/>
    <col min="14338" max="14338" width="12.5703125" style="7" customWidth="1"/>
    <col min="14339" max="14339" width="19.140625" style="7" customWidth="1"/>
    <col min="14340" max="14344" width="10.7109375" style="7" customWidth="1"/>
    <col min="14345" max="14345" width="134.42578125" style="7" customWidth="1"/>
    <col min="14346" max="14347" width="0" style="7" hidden="1" customWidth="1"/>
    <col min="14348" max="14355" width="10.7109375" style="7" customWidth="1"/>
    <col min="14356" max="14363" width="7.7109375" style="7" customWidth="1"/>
    <col min="14364" max="14593" width="11.42578125" style="7"/>
    <col min="14594" max="14594" width="12.5703125" style="7" customWidth="1"/>
    <col min="14595" max="14595" width="19.140625" style="7" customWidth="1"/>
    <col min="14596" max="14600" width="10.7109375" style="7" customWidth="1"/>
    <col min="14601" max="14601" width="134.42578125" style="7" customWidth="1"/>
    <col min="14602" max="14603" width="0" style="7" hidden="1" customWidth="1"/>
    <col min="14604" max="14611" width="10.7109375" style="7" customWidth="1"/>
    <col min="14612" max="14619" width="7.7109375" style="7" customWidth="1"/>
    <col min="14620" max="14849" width="11.42578125" style="7"/>
    <col min="14850" max="14850" width="12.5703125" style="7" customWidth="1"/>
    <col min="14851" max="14851" width="19.140625" style="7" customWidth="1"/>
    <col min="14852" max="14856" width="10.7109375" style="7" customWidth="1"/>
    <col min="14857" max="14857" width="134.42578125" style="7" customWidth="1"/>
    <col min="14858" max="14859" width="0" style="7" hidden="1" customWidth="1"/>
    <col min="14860" max="14867" width="10.7109375" style="7" customWidth="1"/>
    <col min="14868" max="14875" width="7.7109375" style="7" customWidth="1"/>
    <col min="14876" max="15105" width="11.42578125" style="7"/>
    <col min="15106" max="15106" width="12.5703125" style="7" customWidth="1"/>
    <col min="15107" max="15107" width="19.140625" style="7" customWidth="1"/>
    <col min="15108" max="15112" width="10.7109375" style="7" customWidth="1"/>
    <col min="15113" max="15113" width="134.42578125" style="7" customWidth="1"/>
    <col min="15114" max="15115" width="0" style="7" hidden="1" customWidth="1"/>
    <col min="15116" max="15123" width="10.7109375" style="7" customWidth="1"/>
    <col min="15124" max="15131" width="7.7109375" style="7" customWidth="1"/>
    <col min="15132" max="15361" width="11.42578125" style="7"/>
    <col min="15362" max="15362" width="12.5703125" style="7" customWidth="1"/>
    <col min="15363" max="15363" width="19.140625" style="7" customWidth="1"/>
    <col min="15364" max="15368" width="10.7109375" style="7" customWidth="1"/>
    <col min="15369" max="15369" width="134.42578125" style="7" customWidth="1"/>
    <col min="15370" max="15371" width="0" style="7" hidden="1" customWidth="1"/>
    <col min="15372" max="15379" width="10.7109375" style="7" customWidth="1"/>
    <col min="15380" max="15387" width="7.7109375" style="7" customWidth="1"/>
    <col min="15388" max="15617" width="11.42578125" style="7"/>
    <col min="15618" max="15618" width="12.5703125" style="7" customWidth="1"/>
    <col min="15619" max="15619" width="19.140625" style="7" customWidth="1"/>
    <col min="15620" max="15624" width="10.7109375" style="7" customWidth="1"/>
    <col min="15625" max="15625" width="134.42578125" style="7" customWidth="1"/>
    <col min="15626" max="15627" width="0" style="7" hidden="1" customWidth="1"/>
    <col min="15628" max="15635" width="10.7109375" style="7" customWidth="1"/>
    <col min="15636" max="15643" width="7.7109375" style="7" customWidth="1"/>
    <col min="15644" max="15873" width="11.42578125" style="7"/>
    <col min="15874" max="15874" width="12.5703125" style="7" customWidth="1"/>
    <col min="15875" max="15875" width="19.140625" style="7" customWidth="1"/>
    <col min="15876" max="15880" width="10.7109375" style="7" customWidth="1"/>
    <col min="15881" max="15881" width="134.42578125" style="7" customWidth="1"/>
    <col min="15882" max="15883" width="0" style="7" hidden="1" customWidth="1"/>
    <col min="15884" max="15891" width="10.7109375" style="7" customWidth="1"/>
    <col min="15892" max="15899" width="7.7109375" style="7" customWidth="1"/>
    <col min="15900" max="16129" width="11.42578125" style="7"/>
    <col min="16130" max="16130" width="12.5703125" style="7" customWidth="1"/>
    <col min="16131" max="16131" width="19.140625" style="7" customWidth="1"/>
    <col min="16132" max="16136" width="10.7109375" style="7" customWidth="1"/>
    <col min="16137" max="16137" width="134.42578125" style="7" customWidth="1"/>
    <col min="16138" max="16139" width="0" style="7" hidden="1" customWidth="1"/>
    <col min="16140" max="16147" width="10.7109375" style="7" customWidth="1"/>
    <col min="16148" max="16155" width="7.7109375" style="7" customWidth="1"/>
    <col min="16156" max="16384" width="11.42578125" style="7"/>
  </cols>
  <sheetData>
    <row r="1" spans="1:21" ht="25.5" x14ac:dyDescent="0.25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3"/>
      <c r="K1" s="74" t="s">
        <v>30</v>
      </c>
    </row>
    <row r="2" spans="1:21" ht="3" hidden="1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6"/>
      <c r="K2" s="74"/>
    </row>
    <row r="3" spans="1:21" x14ac:dyDescent="0.25">
      <c r="A3" s="17" t="s">
        <v>0</v>
      </c>
      <c r="B3" s="75">
        <v>46194</v>
      </c>
      <c r="C3" s="76"/>
      <c r="D3" s="5"/>
      <c r="E3" s="5"/>
      <c r="F3" s="5"/>
      <c r="G3" s="6" t="s">
        <v>1</v>
      </c>
      <c r="H3" s="47">
        <v>2</v>
      </c>
      <c r="I3" s="77"/>
      <c r="J3" s="77"/>
      <c r="K3" s="78"/>
    </row>
    <row r="4" spans="1:21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  <c r="K4" s="20"/>
    </row>
    <row r="5" spans="1:21" x14ac:dyDescent="0.25">
      <c r="A5" s="79" t="s">
        <v>2</v>
      </c>
      <c r="B5" s="81" t="s">
        <v>3</v>
      </c>
      <c r="C5" s="82"/>
      <c r="D5" s="94" t="s">
        <v>4</v>
      </c>
      <c r="E5" s="95"/>
      <c r="F5" s="96"/>
      <c r="G5" s="85" t="s">
        <v>5</v>
      </c>
      <c r="H5" s="86" t="s">
        <v>6</v>
      </c>
      <c r="I5" s="88" t="s">
        <v>7</v>
      </c>
      <c r="J5" s="89"/>
      <c r="K5" s="90"/>
      <c r="M5" s="21"/>
    </row>
    <row r="6" spans="1:21" x14ac:dyDescent="0.25">
      <c r="A6" s="80"/>
      <c r="B6" s="83"/>
      <c r="C6" s="84"/>
      <c r="D6" s="48" t="s">
        <v>11</v>
      </c>
      <c r="E6" s="97" t="s">
        <v>12</v>
      </c>
      <c r="F6" s="98"/>
      <c r="G6" s="85"/>
      <c r="H6" s="87"/>
      <c r="I6" s="91"/>
      <c r="J6" s="92"/>
      <c r="K6" s="93"/>
    </row>
    <row r="7" spans="1:21" ht="19.5" x14ac:dyDescent="0.25">
      <c r="A7" s="2" t="s">
        <v>8</v>
      </c>
      <c r="B7" s="66"/>
      <c r="C7" s="67"/>
      <c r="D7" s="49"/>
      <c r="E7" s="66"/>
      <c r="F7" s="67"/>
      <c r="G7" s="4">
        <v>0</v>
      </c>
      <c r="H7" s="4">
        <v>0</v>
      </c>
      <c r="I7" s="63"/>
      <c r="J7" s="64"/>
      <c r="K7" s="65"/>
    </row>
    <row r="8" spans="1:21" ht="19.5" x14ac:dyDescent="0.25">
      <c r="A8" s="2" t="s">
        <v>9</v>
      </c>
      <c r="B8" s="66" t="s">
        <v>32</v>
      </c>
      <c r="C8" s="67"/>
      <c r="D8" s="49">
        <v>20</v>
      </c>
      <c r="E8" s="66">
        <v>120</v>
      </c>
      <c r="F8" s="67"/>
      <c r="G8" s="4">
        <v>0.63888888888888884</v>
      </c>
      <c r="H8" s="4">
        <v>0.9375</v>
      </c>
      <c r="I8" s="63" t="s">
        <v>35</v>
      </c>
      <c r="J8" s="64"/>
      <c r="K8" s="65"/>
      <c r="N8" s="22"/>
    </row>
    <row r="9" spans="1:21" ht="19.5" x14ac:dyDescent="0.25">
      <c r="A9" s="2" t="s">
        <v>23</v>
      </c>
      <c r="B9" s="66" t="s">
        <v>32</v>
      </c>
      <c r="C9" s="67"/>
      <c r="D9" s="49"/>
      <c r="E9" s="102">
        <v>140</v>
      </c>
      <c r="F9" s="103"/>
      <c r="G9" s="4">
        <v>0.64375000000000004</v>
      </c>
      <c r="H9" s="4">
        <v>0.93819444444444444</v>
      </c>
      <c r="I9" s="63" t="s">
        <v>34</v>
      </c>
      <c r="J9" s="64"/>
      <c r="K9" s="65"/>
      <c r="O9" s="101"/>
      <c r="P9" s="101"/>
      <c r="Q9" s="99"/>
      <c r="R9" s="100"/>
      <c r="S9" s="99"/>
      <c r="T9" s="100"/>
      <c r="U9" s="1"/>
    </row>
    <row r="10" spans="1:21" ht="19.5" x14ac:dyDescent="0.25">
      <c r="A10" s="2" t="s">
        <v>10</v>
      </c>
      <c r="B10" s="66" t="s">
        <v>33</v>
      </c>
      <c r="C10" s="67"/>
      <c r="D10" s="49">
        <v>177</v>
      </c>
      <c r="E10" s="66"/>
      <c r="F10" s="67"/>
      <c r="G10" s="4">
        <v>0.62847222222222221</v>
      </c>
      <c r="H10" s="4">
        <v>0.94097222222222221</v>
      </c>
      <c r="I10" s="63"/>
      <c r="J10" s="64"/>
      <c r="K10" s="65"/>
      <c r="L10" s="1"/>
      <c r="M10" s="101"/>
      <c r="N10" s="101"/>
      <c r="O10" s="101"/>
      <c r="P10" s="101"/>
      <c r="Q10" s="99"/>
      <c r="R10" s="100"/>
      <c r="S10" s="99"/>
      <c r="T10" s="100"/>
      <c r="U10" s="1"/>
    </row>
    <row r="11" spans="1:21" x14ac:dyDescent="0.25">
      <c r="A11" s="69"/>
      <c r="B11" s="69"/>
      <c r="C11" s="69"/>
      <c r="D11" s="70"/>
      <c r="E11" s="70"/>
      <c r="F11" s="8"/>
      <c r="G11" s="123"/>
      <c r="H11" s="123"/>
      <c r="I11" s="124"/>
      <c r="J11" s="125"/>
      <c r="K11" s="9"/>
    </row>
    <row r="12" spans="1:21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</row>
    <row r="13" spans="1:21" hidden="1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21" ht="18" x14ac:dyDescent="0.25">
      <c r="A14" s="62" t="s">
        <v>28</v>
      </c>
      <c r="B14" s="62"/>
      <c r="C14" s="10" t="s">
        <v>8</v>
      </c>
      <c r="D14" s="10" t="s">
        <v>9</v>
      </c>
      <c r="E14" s="10" t="s">
        <v>23</v>
      </c>
      <c r="F14" s="10" t="s">
        <v>10</v>
      </c>
      <c r="G14" s="106" t="s">
        <v>7</v>
      </c>
      <c r="H14" s="107"/>
      <c r="I14" s="107"/>
      <c r="J14" s="107"/>
      <c r="K14" s="108"/>
      <c r="M14" s="11"/>
      <c r="N14" s="12">
        <f>H7-G7+IF(G7&gt;H7,1)</f>
        <v>0</v>
      </c>
      <c r="O14" s="12">
        <f>H8-G8+IF(G8&gt;H8,1)</f>
        <v>0.29861111111111116</v>
      </c>
      <c r="P14" s="12">
        <f>H9-G9+IF(G9&gt;H9,1)</f>
        <v>0.2944444444444444</v>
      </c>
    </row>
    <row r="15" spans="1:21" x14ac:dyDescent="0.25">
      <c r="A15" s="126" t="s">
        <v>11</v>
      </c>
      <c r="B15" s="126"/>
      <c r="C15" s="50">
        <f>D7</f>
        <v>0</v>
      </c>
      <c r="D15" s="50">
        <f>D8</f>
        <v>20</v>
      </c>
      <c r="E15" s="50">
        <f>D9</f>
        <v>0</v>
      </c>
      <c r="F15" s="50">
        <f>D10</f>
        <v>177</v>
      </c>
      <c r="G15" s="114"/>
      <c r="H15" s="130"/>
      <c r="I15" s="130"/>
      <c r="J15" s="130"/>
      <c r="K15" s="130"/>
      <c r="L15" s="7" t="s">
        <v>15</v>
      </c>
      <c r="P15" s="12">
        <f>H10-G10+IF(G10&gt;H10,1)</f>
        <v>0.3125</v>
      </c>
    </row>
    <row r="16" spans="1:21" x14ac:dyDescent="0.25">
      <c r="A16" s="111" t="s">
        <v>12</v>
      </c>
      <c r="B16" s="111"/>
      <c r="C16" s="53">
        <f>E7</f>
        <v>0</v>
      </c>
      <c r="D16" s="53">
        <f>E8</f>
        <v>120</v>
      </c>
      <c r="E16" s="53">
        <f>E9</f>
        <v>140</v>
      </c>
      <c r="F16" s="53">
        <f>E10</f>
        <v>0</v>
      </c>
      <c r="G16" s="127" t="s">
        <v>41</v>
      </c>
      <c r="H16" s="128"/>
      <c r="I16" s="128"/>
      <c r="J16" s="128"/>
      <c r="K16" s="129"/>
    </row>
    <row r="17" spans="1:16" ht="15" customHeight="1" x14ac:dyDescent="0.25">
      <c r="A17" s="110" t="s">
        <v>13</v>
      </c>
      <c r="B17" s="110"/>
      <c r="C17" s="51">
        <v>0</v>
      </c>
      <c r="D17" s="51"/>
      <c r="E17" s="51">
        <v>0</v>
      </c>
      <c r="F17" s="51"/>
      <c r="G17" s="114" t="s">
        <v>36</v>
      </c>
      <c r="H17" s="114"/>
      <c r="I17" s="114"/>
      <c r="J17" s="114"/>
      <c r="K17" s="114"/>
    </row>
    <row r="18" spans="1:16" ht="15" customHeight="1" x14ac:dyDescent="0.25">
      <c r="A18" s="110" t="s">
        <v>14</v>
      </c>
      <c r="B18" s="110"/>
      <c r="C18" s="51"/>
      <c r="D18" s="51"/>
      <c r="E18" s="51"/>
      <c r="F18" s="51"/>
      <c r="G18" s="114" t="s">
        <v>38</v>
      </c>
      <c r="H18" s="114"/>
      <c r="I18" s="114"/>
      <c r="J18" s="114"/>
      <c r="K18" s="114"/>
      <c r="P18" s="7" t="s">
        <v>29</v>
      </c>
    </row>
    <row r="19" spans="1:16" x14ac:dyDescent="0.25">
      <c r="A19" s="110" t="s">
        <v>16</v>
      </c>
      <c r="B19" s="110"/>
      <c r="C19" s="51"/>
      <c r="D19" s="51"/>
      <c r="E19" s="51"/>
      <c r="F19" s="51">
        <v>3</v>
      </c>
      <c r="G19" s="114" t="s">
        <v>39</v>
      </c>
      <c r="H19" s="114"/>
      <c r="I19" s="114"/>
      <c r="J19" s="114"/>
      <c r="K19" s="114"/>
    </row>
    <row r="20" spans="1:16" ht="15.75" x14ac:dyDescent="0.25">
      <c r="A20" s="110" t="s">
        <v>17</v>
      </c>
      <c r="B20" s="110"/>
      <c r="C20" s="51"/>
      <c r="D20" s="51">
        <v>6</v>
      </c>
      <c r="E20" s="51">
        <v>5</v>
      </c>
      <c r="F20" s="51"/>
      <c r="G20" s="112" t="s">
        <v>40</v>
      </c>
      <c r="H20" s="113"/>
      <c r="I20" s="113"/>
      <c r="J20" s="113"/>
      <c r="K20" s="113"/>
    </row>
    <row r="21" spans="1:16" ht="18" x14ac:dyDescent="0.25">
      <c r="A21" s="111" t="s">
        <v>18</v>
      </c>
      <c r="B21" s="111"/>
      <c r="C21" s="54">
        <f>SUM(C15:C20)</f>
        <v>0</v>
      </c>
      <c r="D21" s="54">
        <f t="shared" ref="D21:F21" si="0">SUM(D15:D20)</f>
        <v>146</v>
      </c>
      <c r="E21" s="54">
        <f>SUM(E15:E20)</f>
        <v>145</v>
      </c>
      <c r="F21" s="54">
        <f t="shared" si="0"/>
        <v>180</v>
      </c>
      <c r="G21" s="115"/>
      <c r="H21" s="116"/>
      <c r="I21" s="116"/>
      <c r="J21" s="116"/>
      <c r="K21" s="116"/>
    </row>
    <row r="22" spans="1:16" ht="18" x14ac:dyDescent="0.25">
      <c r="A22" s="109" t="s">
        <v>19</v>
      </c>
      <c r="B22" s="109"/>
      <c r="C22" s="52">
        <f>HOUR(N14)+MINUTE(N14)/60</f>
        <v>0</v>
      </c>
      <c r="D22" s="52">
        <f>HOUR(O14)+MINUTE(O14)/60</f>
        <v>7.166666666666667</v>
      </c>
      <c r="E22" s="52">
        <f>HOUR(P14)+MINUTE(P14)/60</f>
        <v>7.0666666666666664</v>
      </c>
      <c r="F22" s="52">
        <f>HOUR(P15)+MINUTE(P15)/60</f>
        <v>7.5</v>
      </c>
      <c r="G22" s="104"/>
      <c r="H22" s="105"/>
      <c r="I22" s="105"/>
      <c r="J22" s="105"/>
      <c r="K22" s="105"/>
    </row>
    <row r="23" spans="1:16" ht="15" customHeight="1" x14ac:dyDescent="0.25">
      <c r="A23" s="109" t="s">
        <v>20</v>
      </c>
      <c r="B23" s="109"/>
      <c r="C23" s="3" t="e">
        <f>C21/C22</f>
        <v>#DIV/0!</v>
      </c>
      <c r="D23" s="3">
        <f>D21/D22</f>
        <v>20.372093023255815</v>
      </c>
      <c r="E23" s="55">
        <f>E21/E22</f>
        <v>20.518867924528301</v>
      </c>
      <c r="F23" s="3">
        <f>+F21/F22</f>
        <v>24</v>
      </c>
      <c r="G23" s="114"/>
      <c r="H23" s="114"/>
      <c r="I23" s="114"/>
      <c r="J23" s="114"/>
      <c r="K23" s="114"/>
    </row>
    <row r="24" spans="1:16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3"/>
      <c r="O24" s="23"/>
    </row>
    <row r="25" spans="1:16" ht="16.5" customHeight="1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1:16" ht="18" x14ac:dyDescent="0.25">
      <c r="A26" s="62" t="s">
        <v>21</v>
      </c>
      <c r="B26" s="62"/>
      <c r="C26" s="10" t="s">
        <v>25</v>
      </c>
      <c r="D26" s="10" t="s">
        <v>26</v>
      </c>
      <c r="E26" s="106" t="s">
        <v>27</v>
      </c>
      <c r="F26" s="108"/>
      <c r="G26" s="106" t="s">
        <v>7</v>
      </c>
      <c r="H26" s="107"/>
      <c r="I26" s="107"/>
      <c r="J26" s="107"/>
      <c r="K26" s="108"/>
      <c r="M26" s="11"/>
      <c r="N26" s="11"/>
      <c r="P26" s="11"/>
    </row>
    <row r="27" spans="1:16" ht="0.75" hidden="1" customHeight="1" x14ac:dyDescent="0.25">
      <c r="A27" s="131"/>
      <c r="B27" s="132"/>
      <c r="C27" s="24"/>
      <c r="D27" s="24"/>
      <c r="E27" s="25"/>
      <c r="F27" s="26" t="s">
        <v>15</v>
      </c>
    </row>
    <row r="28" spans="1:16" ht="19.5" hidden="1" customHeight="1" x14ac:dyDescent="0.25">
      <c r="A28" s="135"/>
      <c r="B28" s="136"/>
      <c r="C28" s="24">
        <v>0</v>
      </c>
      <c r="D28" s="24">
        <v>0</v>
      </c>
      <c r="E28" s="26">
        <v>0</v>
      </c>
      <c r="F28" s="26"/>
      <c r="G28" s="133"/>
      <c r="H28" s="134"/>
      <c r="I28" s="134"/>
      <c r="J28" s="27"/>
      <c r="K28" s="27"/>
    </row>
    <row r="29" spans="1:16" ht="19.5" hidden="1" customHeight="1" x14ac:dyDescent="0.25">
      <c r="A29" s="135"/>
      <c r="B29" s="136"/>
      <c r="C29" s="24">
        <v>0</v>
      </c>
      <c r="D29" s="24">
        <v>0</v>
      </c>
      <c r="E29" s="26">
        <v>0</v>
      </c>
      <c r="F29" s="26"/>
      <c r="G29" s="133"/>
      <c r="H29" s="134"/>
      <c r="I29" s="134"/>
      <c r="J29" s="27"/>
      <c r="K29" s="27"/>
      <c r="M29" s="1"/>
    </row>
    <row r="30" spans="1:16" ht="19.5" hidden="1" customHeight="1" x14ac:dyDescent="0.25">
      <c r="A30" s="135"/>
      <c r="B30" s="136"/>
      <c r="C30" s="24">
        <v>0</v>
      </c>
      <c r="D30" s="24">
        <v>0</v>
      </c>
      <c r="E30" s="25">
        <v>0</v>
      </c>
      <c r="F30" s="28"/>
      <c r="G30" s="133"/>
      <c r="H30" s="134"/>
      <c r="I30" s="134"/>
      <c r="J30" s="27"/>
      <c r="K30" s="27"/>
      <c r="M30" s="1"/>
    </row>
    <row r="31" spans="1:16" ht="25.5" hidden="1" customHeight="1" x14ac:dyDescent="0.25">
      <c r="A31" s="135"/>
      <c r="B31" s="136"/>
      <c r="C31" s="24">
        <v>0</v>
      </c>
      <c r="D31" s="24">
        <v>0</v>
      </c>
      <c r="E31" s="25">
        <v>0</v>
      </c>
      <c r="F31" s="25"/>
      <c r="G31" s="133"/>
      <c r="H31" s="134"/>
      <c r="I31" s="134"/>
      <c r="J31" s="27"/>
      <c r="K31" s="27"/>
    </row>
    <row r="32" spans="1:16" ht="0.75" hidden="1" customHeight="1" x14ac:dyDescent="0.25">
      <c r="A32" s="135"/>
      <c r="B32" s="136"/>
      <c r="C32" s="24">
        <v>0</v>
      </c>
      <c r="D32" s="24">
        <v>0</v>
      </c>
      <c r="E32" s="25">
        <v>0</v>
      </c>
      <c r="F32" s="25"/>
      <c r="G32" s="133"/>
      <c r="H32" s="134"/>
      <c r="I32" s="134"/>
      <c r="J32" s="134"/>
      <c r="K32" s="134"/>
    </row>
    <row r="33" spans="1:15" ht="19.5" hidden="1" customHeight="1" x14ac:dyDescent="0.25">
      <c r="A33" s="135"/>
      <c r="B33" s="136"/>
      <c r="C33" s="24">
        <v>0</v>
      </c>
      <c r="D33" s="24">
        <v>0</v>
      </c>
      <c r="E33" s="25">
        <v>0</v>
      </c>
      <c r="F33" s="25"/>
      <c r="G33" s="133"/>
      <c r="H33" s="134"/>
      <c r="I33" s="134"/>
      <c r="J33" s="27"/>
      <c r="K33" s="27"/>
    </row>
    <row r="34" spans="1:15" x14ac:dyDescent="0.25">
      <c r="A34" s="119" t="s">
        <v>23</v>
      </c>
      <c r="B34" s="120"/>
      <c r="C34" s="44">
        <v>0.72291666666666665</v>
      </c>
      <c r="D34" s="45">
        <v>0.74236111111111114</v>
      </c>
      <c r="E34" s="57">
        <v>1.9444444444444445E-2</v>
      </c>
      <c r="F34" s="58"/>
      <c r="G34" s="59" t="s">
        <v>37</v>
      </c>
      <c r="H34" s="60"/>
      <c r="I34" s="60"/>
      <c r="J34" s="60"/>
      <c r="K34" s="61"/>
    </row>
    <row r="35" spans="1:15" x14ac:dyDescent="0.25">
      <c r="A35" s="119"/>
      <c r="B35" s="120"/>
      <c r="C35" s="44">
        <v>0</v>
      </c>
      <c r="D35" s="44">
        <v>0</v>
      </c>
      <c r="E35" s="57">
        <v>0</v>
      </c>
      <c r="F35" s="58"/>
      <c r="G35" s="59"/>
      <c r="H35" s="60"/>
      <c r="I35" s="60"/>
      <c r="J35" s="60"/>
      <c r="K35" s="61"/>
      <c r="M35" s="1"/>
      <c r="N35" s="56"/>
    </row>
    <row r="36" spans="1:15" x14ac:dyDescent="0.25">
      <c r="A36" s="119"/>
      <c r="B36" s="120"/>
      <c r="C36" s="44">
        <v>0</v>
      </c>
      <c r="D36" s="44">
        <v>0</v>
      </c>
      <c r="E36" s="57">
        <v>0</v>
      </c>
      <c r="F36" s="58"/>
      <c r="G36" s="59"/>
      <c r="H36" s="60"/>
      <c r="I36" s="60"/>
      <c r="J36" s="60"/>
      <c r="K36" s="61"/>
    </row>
    <row r="37" spans="1:15" x14ac:dyDescent="0.25">
      <c r="A37" s="119"/>
      <c r="B37" s="120"/>
      <c r="C37" s="44">
        <v>0</v>
      </c>
      <c r="D37" s="44">
        <v>0</v>
      </c>
      <c r="E37" s="57">
        <v>0</v>
      </c>
      <c r="F37" s="58"/>
      <c r="G37" s="59"/>
      <c r="H37" s="60"/>
      <c r="I37" s="60"/>
      <c r="J37" s="60"/>
      <c r="K37" s="61"/>
    </row>
    <row r="38" spans="1:15" x14ac:dyDescent="0.25">
      <c r="A38" s="119"/>
      <c r="B38" s="120"/>
      <c r="C38" s="44">
        <v>0</v>
      </c>
      <c r="D38" s="45">
        <v>0</v>
      </c>
      <c r="E38" s="57">
        <v>0</v>
      </c>
      <c r="F38" s="58"/>
      <c r="G38" s="142"/>
      <c r="H38" s="143"/>
      <c r="I38" s="143"/>
      <c r="J38" s="143"/>
      <c r="K38" s="144"/>
      <c r="M38" s="1"/>
    </row>
    <row r="39" spans="1:15" x14ac:dyDescent="0.25">
      <c r="A39" s="119"/>
      <c r="B39" s="120"/>
      <c r="C39" s="44">
        <v>0</v>
      </c>
      <c r="D39" s="44">
        <v>0</v>
      </c>
      <c r="E39" s="57">
        <v>0</v>
      </c>
      <c r="F39" s="58"/>
      <c r="G39" s="142"/>
      <c r="H39" s="143"/>
      <c r="I39" s="143"/>
      <c r="J39" s="143"/>
      <c r="K39" s="144"/>
    </row>
    <row r="40" spans="1:15" x14ac:dyDescent="0.25">
      <c r="A40" s="119"/>
      <c r="B40" s="120"/>
      <c r="C40" s="44">
        <v>0</v>
      </c>
      <c r="D40" s="45">
        <v>0</v>
      </c>
      <c r="E40" s="57">
        <f t="shared" ref="E40" si="1">D40-C40+IF(C40&gt;D40,1)</f>
        <v>0</v>
      </c>
      <c r="F40" s="58"/>
      <c r="G40" s="142"/>
      <c r="H40" s="143"/>
      <c r="I40" s="143"/>
      <c r="J40" s="143"/>
      <c r="K40" s="144"/>
    </row>
    <row r="41" spans="1:15" x14ac:dyDescent="0.25">
      <c r="A41" s="138"/>
      <c r="B41" s="139"/>
      <c r="C41" s="45">
        <v>0</v>
      </c>
      <c r="D41" s="45">
        <v>0</v>
      </c>
      <c r="E41" s="140">
        <v>0</v>
      </c>
      <c r="F41" s="141"/>
      <c r="G41" s="145"/>
      <c r="H41" s="146"/>
      <c r="I41" s="146"/>
      <c r="J41" s="146"/>
      <c r="K41" s="147"/>
    </row>
    <row r="42" spans="1:15" ht="20.100000000000001" customHeight="1" x14ac:dyDescent="0.25">
      <c r="A42" s="29"/>
      <c r="B42" s="29"/>
      <c r="C42" s="30"/>
      <c r="D42" s="30"/>
      <c r="E42" s="31"/>
      <c r="F42" s="31"/>
      <c r="G42" s="32"/>
      <c r="H42" s="32"/>
      <c r="I42" s="32"/>
      <c r="J42" s="32"/>
      <c r="K42" s="32"/>
    </row>
    <row r="43" spans="1:15" ht="20.100000000000001" customHeight="1" x14ac:dyDescent="0.25">
      <c r="A43" s="137"/>
      <c r="B43" s="137"/>
      <c r="C43" s="34"/>
      <c r="D43" s="31"/>
      <c r="E43" s="31"/>
      <c r="F43" s="31"/>
      <c r="G43" s="35"/>
      <c r="H43" s="35"/>
      <c r="I43" s="35"/>
      <c r="J43" s="35"/>
      <c r="K43" s="35"/>
    </row>
    <row r="44" spans="1:15" ht="20.100000000000001" customHeight="1" x14ac:dyDescent="0.25">
      <c r="A44" s="137"/>
      <c r="B44" s="137"/>
      <c r="C44" s="34"/>
      <c r="D44" s="34"/>
      <c r="E44" s="34"/>
      <c r="F44" s="34"/>
      <c r="G44" s="36"/>
      <c r="H44" s="36"/>
      <c r="I44" s="37" t="s">
        <v>22</v>
      </c>
      <c r="J44" s="38"/>
      <c r="K44" s="39"/>
    </row>
    <row r="45" spans="1:15" ht="20.100000000000001" customHeight="1" x14ac:dyDescent="0.25">
      <c r="A45" s="137"/>
      <c r="B45" s="137"/>
      <c r="C45" s="34"/>
      <c r="D45" s="34"/>
      <c r="E45" s="34"/>
      <c r="F45" s="34"/>
      <c r="G45" s="35"/>
      <c r="H45" s="35"/>
      <c r="I45" s="46" t="s">
        <v>31</v>
      </c>
      <c r="J45" s="35"/>
      <c r="K45" s="35"/>
    </row>
    <row r="46" spans="1:15" ht="20.100000000000001" customHeight="1" x14ac:dyDescent="0.25">
      <c r="A46" s="33"/>
      <c r="B46" s="33"/>
      <c r="C46" s="34"/>
      <c r="D46" s="34"/>
      <c r="E46" s="34"/>
      <c r="F46" s="34"/>
      <c r="G46" s="36"/>
      <c r="H46" s="36"/>
      <c r="I46" s="117"/>
      <c r="J46" s="117"/>
      <c r="K46" s="40"/>
      <c r="L46" s="118"/>
      <c r="M46" s="118"/>
      <c r="N46" s="118"/>
      <c r="O46" s="118"/>
    </row>
    <row r="47" spans="1:15" ht="16.5" customHeight="1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</row>
    <row r="48" spans="1:15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spans="1:11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x14ac:dyDescent="0.25">
      <c r="A50" s="42"/>
      <c r="B50" s="42"/>
      <c r="C50" s="42"/>
      <c r="D50" s="42"/>
      <c r="E50" s="42"/>
      <c r="F50" s="42"/>
      <c r="G50" s="43"/>
      <c r="H50" s="42"/>
      <c r="I50" s="42"/>
      <c r="J50" s="42"/>
      <c r="K50" s="42"/>
    </row>
    <row r="51" spans="1:11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spans="1:11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spans="1:11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spans="1:11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pans="1:11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spans="1:11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spans="1:11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spans="1:11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spans="1:11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spans="1:1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spans="1:11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spans="1:11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spans="1:11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  <row r="66" spans="1:11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</row>
    <row r="67" spans="1:11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 spans="1:11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 spans="1:1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 spans="1:11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</row>
    <row r="75" spans="1:1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</row>
    <row r="76" spans="1:11" x14ac:dyDescent="0.25">
      <c r="C76" s="42"/>
    </row>
    <row r="77" spans="1:11" x14ac:dyDescent="0.25">
      <c r="C77" s="42"/>
    </row>
    <row r="78" spans="1:11" x14ac:dyDescent="0.25">
      <c r="C78" s="42"/>
    </row>
    <row r="79" spans="1:11" x14ac:dyDescent="0.25">
      <c r="C79" s="42"/>
    </row>
  </sheetData>
  <mergeCells count="102">
    <mergeCell ref="G23:K23"/>
    <mergeCell ref="A31:B31"/>
    <mergeCell ref="A32:B32"/>
    <mergeCell ref="A33:B33"/>
    <mergeCell ref="G31:I31"/>
    <mergeCell ref="G32:K32"/>
    <mergeCell ref="A45:B45"/>
    <mergeCell ref="A38:B38"/>
    <mergeCell ref="A39:B39"/>
    <mergeCell ref="A43:B43"/>
    <mergeCell ref="A44:B44"/>
    <mergeCell ref="A40:B40"/>
    <mergeCell ref="A41:B41"/>
    <mergeCell ref="A28:B28"/>
    <mergeCell ref="A30:B30"/>
    <mergeCell ref="E26:F26"/>
    <mergeCell ref="E41:F41"/>
    <mergeCell ref="G38:K38"/>
    <mergeCell ref="G39:K39"/>
    <mergeCell ref="G40:K40"/>
    <mergeCell ref="G41:K41"/>
    <mergeCell ref="E37:F37"/>
    <mergeCell ref="G37:K37"/>
    <mergeCell ref="E38:F38"/>
    <mergeCell ref="I46:J46"/>
    <mergeCell ref="L46:O46"/>
    <mergeCell ref="A37:B37"/>
    <mergeCell ref="A35:B35"/>
    <mergeCell ref="O9:P9"/>
    <mergeCell ref="A24:K24"/>
    <mergeCell ref="A25:K25"/>
    <mergeCell ref="G26:K26"/>
    <mergeCell ref="G11:H11"/>
    <mergeCell ref="I11:J11"/>
    <mergeCell ref="A15:B15"/>
    <mergeCell ref="A21:B21"/>
    <mergeCell ref="G16:K16"/>
    <mergeCell ref="G15:K15"/>
    <mergeCell ref="A23:B23"/>
    <mergeCell ref="A27:B27"/>
    <mergeCell ref="G33:I33"/>
    <mergeCell ref="A34:B34"/>
    <mergeCell ref="A29:B29"/>
    <mergeCell ref="A36:B36"/>
    <mergeCell ref="G28:I28"/>
    <mergeCell ref="G29:I29"/>
    <mergeCell ref="G30:I30"/>
    <mergeCell ref="G17:K17"/>
    <mergeCell ref="G22:K22"/>
    <mergeCell ref="A14:B14"/>
    <mergeCell ref="G14:K14"/>
    <mergeCell ref="A22:B22"/>
    <mergeCell ref="A17:B17"/>
    <mergeCell ref="A20:B20"/>
    <mergeCell ref="A16:B16"/>
    <mergeCell ref="A19:B19"/>
    <mergeCell ref="G20:K20"/>
    <mergeCell ref="G19:K19"/>
    <mergeCell ref="G18:K18"/>
    <mergeCell ref="G21:K21"/>
    <mergeCell ref="A18:B18"/>
    <mergeCell ref="Q9:R9"/>
    <mergeCell ref="S9:T9"/>
    <mergeCell ref="B10:C10"/>
    <mergeCell ref="I10:K10"/>
    <mergeCell ref="M10:N10"/>
    <mergeCell ref="O10:P10"/>
    <mergeCell ref="Q10:R10"/>
    <mergeCell ref="S10:T10"/>
    <mergeCell ref="E10:F10"/>
    <mergeCell ref="E9:F9"/>
    <mergeCell ref="I9:K9"/>
    <mergeCell ref="A1:J1"/>
    <mergeCell ref="K1:K2"/>
    <mergeCell ref="B3:C3"/>
    <mergeCell ref="I3:K3"/>
    <mergeCell ref="A5:A6"/>
    <mergeCell ref="B5:C6"/>
    <mergeCell ref="G5:G6"/>
    <mergeCell ref="H5:H6"/>
    <mergeCell ref="I5:K6"/>
    <mergeCell ref="D5:F5"/>
    <mergeCell ref="E6:F6"/>
    <mergeCell ref="I7:K7"/>
    <mergeCell ref="B8:C8"/>
    <mergeCell ref="I8:K8"/>
    <mergeCell ref="A12:K13"/>
    <mergeCell ref="E7:F7"/>
    <mergeCell ref="A11:C11"/>
    <mergeCell ref="B7:C7"/>
    <mergeCell ref="E8:F8"/>
    <mergeCell ref="B9:C9"/>
    <mergeCell ref="D11:E11"/>
    <mergeCell ref="E39:F39"/>
    <mergeCell ref="E40:F40"/>
    <mergeCell ref="E34:F34"/>
    <mergeCell ref="G34:K34"/>
    <mergeCell ref="E35:F35"/>
    <mergeCell ref="G35:K35"/>
    <mergeCell ref="E36:F36"/>
    <mergeCell ref="G36:K36"/>
    <mergeCell ref="A26:B26"/>
  </mergeCells>
  <phoneticPr fontId="2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FATHEDDINE Mohamed</cp:lastModifiedBy>
  <dcterms:created xsi:type="dcterms:W3CDTF">2024-06-15T14:24:36Z</dcterms:created>
  <dcterms:modified xsi:type="dcterms:W3CDTF">2026-06-21T21:41:43Z</dcterms:modified>
</cp:coreProperties>
</file>