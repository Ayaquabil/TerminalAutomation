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13_ncr:1_{1CE21AB4-712B-4ADD-BC6B-6BE7379F5BA3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F17" i="1"/>
  <c r="D17" i="1"/>
  <c r="C16" i="1"/>
  <c r="E40" i="1" l="1"/>
  <c r="E41" i="1"/>
  <c r="E35" i="1" l="1"/>
  <c r="E17" i="1" l="1"/>
  <c r="C17" i="1"/>
  <c r="E38" i="1"/>
  <c r="E42" i="1"/>
  <c r="E16" i="1"/>
  <c r="F16" i="1" l="1"/>
  <c r="D22" i="1"/>
  <c r="E44" i="1"/>
  <c r="E36" i="1"/>
  <c r="E43" i="1"/>
  <c r="E39" i="1"/>
  <c r="E37" i="1"/>
  <c r="P16" i="1"/>
  <c r="F23" i="1" s="1"/>
  <c r="P15" i="1"/>
  <c r="E23" i="1" s="1"/>
  <c r="O15" i="1"/>
  <c r="D23" i="1" s="1"/>
  <c r="N15" i="1"/>
  <c r="C23" i="1" s="1"/>
  <c r="F22" i="1" l="1"/>
  <c r="F24" i="1" s="1"/>
  <c r="D24" i="1"/>
  <c r="C22" i="1"/>
  <c r="C24" i="1" s="1"/>
  <c r="E22" i="1"/>
  <c r="E24" i="1" s="1"/>
</calcChain>
</file>

<file path=xl/sharedStrings.xml><?xml version="1.0" encoding="utf-8"?>
<sst xmlns="http://schemas.openxmlformats.org/spreadsheetml/2006/main" count="65" uniqueCount="48">
  <si>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</si>
  <si>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</si>
  <si>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</si>
  <si>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</si>
  <si>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</si>
  <si>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</si>
  <si>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</si>
  <si>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</si>
  <si>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</si>
  <si>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</si>
  <si>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</si>
  <si>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</si>
  <si>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</si>
  <si>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</si>
  <si>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</si>
  <si>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</si>
  <si>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</si>
  <si>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</si>
  <si>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</si>
  <si>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</si>
  <si>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</si>
  <si>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</si>
  <si>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</si>
  <si>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</si>
  <si>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</si>
  <si>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Début</t>
  </si>
  <si>
    <t>Fin</t>
  </si>
  <si>
    <t>Durée</t>
  </si>
  <si>
    <t>Responsable de shift</t>
  </si>
  <si>
    <t xml:space="preserve">  </t>
  </si>
  <si>
    <t xml:space="preserve">       </t>
  </si>
  <si>
    <t>DHOUM   MUSTAPHA</t>
  </si>
  <si>
    <t>navire</t>
  </si>
  <si>
    <t xml:space="preserve">        SHIFT REPORT   </t>
  </si>
  <si>
    <t>Nature de retard</t>
  </si>
  <si>
    <r>
      <t xml:space="preserve">     </t>
    </r>
    <r>
      <rPr>
        <b/>
        <sz val="20"/>
        <rFont val="Tahoma"/>
        <family val="2"/>
      </rPr>
      <t xml:space="preserve">                        </t>
    </r>
    <r>
      <rPr>
        <b/>
        <sz val="16"/>
        <rFont val="Tahoma"/>
        <family val="2"/>
      </rPr>
      <t xml:space="preserve">                                                       </t>
    </r>
    <r>
      <rPr>
        <b/>
        <sz val="22"/>
        <rFont val="Tahoma"/>
        <family val="2"/>
      </rPr>
      <t xml:space="preserve"> 3ème shift</t>
    </r>
  </si>
  <si>
    <t xml:space="preserve">CONGESTION </t>
  </si>
  <si>
    <t xml:space="preserve">SOPC </t>
  </si>
  <si>
    <r>
      <t xml:space="preserve"> **</t>
    </r>
    <r>
      <rPr>
        <b/>
        <sz val="18"/>
        <color rgb="FFFF0000"/>
        <rFont val="Tahoma"/>
        <family val="2"/>
      </rPr>
      <t>*parc saturé*</t>
    </r>
    <r>
      <rPr>
        <b/>
        <sz val="16"/>
        <color theme="1"/>
        <rFont val="Tahoma"/>
        <family val="2"/>
      </rPr>
      <t>**</t>
    </r>
  </si>
  <si>
    <t>CMA CGM JANE</t>
  </si>
  <si>
    <t>VENTO DI MELTEMI</t>
  </si>
  <si>
    <t>PERSEUSE</t>
  </si>
  <si>
    <t>Déssaisissage</t>
  </si>
  <si>
    <t>Accostage à 23:45  +Déssaisissage</t>
  </si>
  <si>
    <t>RGT10</t>
  </si>
  <si>
    <t>Panne technique</t>
  </si>
  <si>
    <t>hyd</t>
  </si>
  <si>
    <t>RTG03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</si>
</sst>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0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20"/>
      <name val="Tahoma"/>
      <family val="2"/>
    </font>
    <font>
      <sz val="16"/>
      <name val="Tahoma"/>
      <family val="2"/>
    </font>
    <font>
      <b/>
      <i/>
      <sz val="16"/>
      <color rgb="FFFF0000"/>
      <name val="Arial"/>
      <family val="2"/>
    </font>
    <font>
      <b/>
      <i/>
      <sz val="16"/>
      <name val="Arial"/>
      <family val="2"/>
    </font>
    <font>
      <b/>
      <sz val="22"/>
      <name val="Tahoma"/>
      <family val="2"/>
    </font>
    <font>
      <b/>
      <i/>
      <sz val="16"/>
      <color rgb="FFFF0000"/>
      <name val="Tahoma"/>
      <family val="2"/>
    </font>
    <font>
      <b/>
      <sz val="18"/>
      <color rgb="FFFF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24" fillId="0" borderId="0"/>
    <xf numFmtId="0" fontId="2" fillId="0" borderId="0"/>
    <xf numFmtId="0" fontId="2" fillId="0" borderId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 vertical="center"/>
    </xf>
    <xf numFmtId="164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4" fillId="4" borderId="3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11" borderId="36" xfId="0" applyFont="1" applyFill="1" applyBorder="1" applyAlignment="1" applyProtection="1">
      <alignment horizontal="center" vertical="center"/>
      <protection locked="0"/>
    </xf>
    <xf numFmtId="0" fontId="4" fillId="7" borderId="28" xfId="0" applyFont="1" applyFill="1" applyBorder="1" applyAlignment="1" applyProtection="1">
      <alignment horizontal="center" vertical="center"/>
      <protection locked="0"/>
    </xf>
    <xf numFmtId="0" fontId="4" fillId="9" borderId="3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30" fillId="9" borderId="28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6" borderId="28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2" fontId="4" fillId="10" borderId="28" xfId="0" applyNumberFormat="1" applyFont="1" applyFill="1" applyBorder="1" applyAlignment="1">
      <alignment horizontal="center" vertical="center"/>
    </xf>
    <xf numFmtId="2" fontId="4" fillId="10" borderId="2" xfId="0" applyNumberFormat="1" applyFont="1" applyFill="1" applyBorder="1" applyAlignment="1">
      <alignment horizontal="center" vertical="center"/>
    </xf>
    <xf numFmtId="2" fontId="4" fillId="10" borderId="14" xfId="0" applyNumberFormat="1" applyFont="1" applyFill="1" applyBorder="1" applyAlignment="1">
      <alignment horizontal="center" vertical="center"/>
    </xf>
    <xf numFmtId="2" fontId="4" fillId="10" borderId="36" xfId="0" applyNumberFormat="1" applyFont="1" applyFill="1" applyBorder="1" applyAlignment="1">
      <alignment horizontal="center" vertical="center"/>
    </xf>
    <xf numFmtId="2" fontId="4" fillId="10" borderId="25" xfId="0" applyNumberFormat="1" applyFont="1" applyFill="1" applyBorder="1" applyAlignment="1">
      <alignment horizontal="center" vertical="center"/>
    </xf>
    <xf numFmtId="2" fontId="4" fillId="10" borderId="26" xfId="0" applyNumberFormat="1" applyFont="1" applyFill="1" applyBorder="1" applyAlignment="1">
      <alignment horizontal="center" vertical="center"/>
    </xf>
    <xf numFmtId="164" fontId="34" fillId="0" borderId="30" xfId="0" applyNumberFormat="1" applyFont="1" applyBorder="1" applyAlignment="1" applyProtection="1">
      <alignment horizontal="center" vertical="center"/>
      <protection locked="0"/>
    </xf>
    <xf numFmtId="164" fontId="34" fillId="0" borderId="15" xfId="0" applyNumberFormat="1" applyFont="1" applyBorder="1" applyAlignment="1" applyProtection="1">
      <alignment horizontal="center" vertical="center"/>
      <protection locked="0"/>
    </xf>
    <xf numFmtId="164" fontId="34" fillId="8" borderId="30" xfId="0" applyNumberFormat="1" applyFont="1" applyFill="1" applyBorder="1" applyAlignment="1">
      <alignment horizontal="center" vertical="center"/>
    </xf>
    <xf numFmtId="164" fontId="34" fillId="0" borderId="29" xfId="0" applyNumberFormat="1" applyFont="1" applyBorder="1" applyAlignment="1" applyProtection="1">
      <alignment horizontal="center" vertical="center"/>
      <protection locked="0"/>
    </xf>
    <xf numFmtId="164" fontId="34" fillId="0" borderId="16" xfId="0" applyNumberFormat="1" applyFont="1" applyBorder="1" applyAlignment="1" applyProtection="1">
      <alignment horizontal="center" vertical="center"/>
      <protection locked="0"/>
    </xf>
    <xf numFmtId="164" fontId="34" fillId="8" borderId="29" xfId="0" applyNumberFormat="1" applyFont="1" applyFill="1" applyBorder="1" applyAlignment="1">
      <alignment horizontal="center" vertical="center"/>
    </xf>
    <xf numFmtId="164" fontId="34" fillId="0" borderId="32" xfId="0" applyNumberFormat="1" applyFont="1" applyBorder="1" applyAlignment="1" applyProtection="1">
      <alignment horizontal="center" vertical="center"/>
      <protection locked="0"/>
    </xf>
    <xf numFmtId="164" fontId="34" fillId="0" borderId="34" xfId="0" applyNumberFormat="1" applyFont="1" applyBorder="1" applyAlignment="1" applyProtection="1">
      <alignment horizontal="center" vertical="center"/>
      <protection locked="0"/>
    </xf>
    <xf numFmtId="164" fontId="34" fillId="8" borderId="32" xfId="0" applyNumberFormat="1" applyFont="1" applyFill="1" applyBorder="1" applyAlignment="1">
      <alignment horizontal="center" vertical="center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164" fontId="4" fillId="8" borderId="28" xfId="0" applyNumberFormat="1" applyFont="1" applyFill="1" applyBorder="1" applyAlignment="1">
      <alignment horizontal="center" vertical="center"/>
    </xf>
    <xf numFmtId="164" fontId="4" fillId="0" borderId="36" xfId="0" applyNumberFormat="1" applyFont="1" applyBorder="1" applyAlignment="1" applyProtection="1">
      <alignment horizontal="center" vertical="center"/>
      <protection locked="0"/>
    </xf>
    <xf numFmtId="164" fontId="4" fillId="8" borderId="44" xfId="0" applyNumberFormat="1" applyFont="1" applyFill="1" applyBorder="1" applyAlignment="1">
      <alignment horizontal="center" vertical="center"/>
    </xf>
    <xf numFmtId="164" fontId="4" fillId="8" borderId="45" xfId="0" applyNumberFormat="1" applyFont="1" applyFill="1" applyBorder="1" applyAlignment="1">
      <alignment horizontal="center" vertical="center"/>
    </xf>
    <xf numFmtId="164" fontId="4" fillId="0" borderId="44" xfId="0" applyNumberFormat="1" applyFont="1" applyBorder="1" applyAlignment="1" applyProtection="1">
      <alignment horizontal="center" vertical="center"/>
      <protection locked="0"/>
    </xf>
    <xf numFmtId="164" fontId="4" fillId="0" borderId="35" xfId="0" applyNumberFormat="1" applyFont="1" applyBorder="1" applyAlignment="1" applyProtection="1">
      <alignment horizontal="center" vertical="center"/>
      <protection locked="0"/>
    </xf>
    <xf numFmtId="164" fontId="4" fillId="0" borderId="28" xfId="0" applyNumberFormat="1" applyFont="1" applyBorder="1" applyAlignment="1" applyProtection="1">
      <alignment horizontal="center" vertical="center"/>
      <protection locked="0"/>
    </xf>
    <xf numFmtId="0" fontId="32" fillId="13" borderId="28" xfId="0" applyFont="1" applyFill="1" applyBorder="1" applyAlignment="1">
      <alignment horizontal="center" vertical="center"/>
    </xf>
    <xf numFmtId="0" fontId="32" fillId="13" borderId="1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right" vertical="center"/>
    </xf>
    <xf numFmtId="0" fontId="29" fillId="14" borderId="1" xfId="0" applyFont="1" applyFill="1" applyBorder="1" applyAlignment="1" applyProtection="1">
      <alignment horizontal="center" vertical="center"/>
      <protection locked="0"/>
    </xf>
    <xf numFmtId="0" fontId="29" fillId="14" borderId="37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164" fontId="4" fillId="5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50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164" fontId="4" fillId="14" borderId="28" xfId="0" applyNumberFormat="1" applyFont="1" applyFill="1" applyBorder="1" applyAlignment="1">
      <alignment horizontal="center" vertical="center"/>
    </xf>
    <xf numFmtId="164" fontId="4" fillId="14" borderId="28" xfId="0" applyNumberFormat="1" applyFont="1" applyFill="1" applyBorder="1" applyAlignment="1" applyProtection="1">
      <alignment horizontal="center" vertical="center"/>
      <protection locked="0"/>
    </xf>
    <xf numFmtId="0" fontId="35" fillId="13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164" fontId="13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0" borderId="52" xfId="0" applyFont="1" applyBorder="1" applyAlignment="1" applyProtection="1">
      <alignment horizontal="center" vertical="center" wrapText="1"/>
      <protection locked="0"/>
    </xf>
    <xf numFmtId="0" fontId="3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4" fontId="4" fillId="5" borderId="36" xfId="0" applyNumberFormat="1" applyFont="1" applyFill="1" applyBorder="1" applyAlignment="1" applyProtection="1">
      <alignment horizontal="center" vertical="center"/>
      <protection locked="0"/>
    </xf>
    <xf numFmtId="164" fontId="4" fillId="14" borderId="44" xfId="0" applyNumberFormat="1" applyFont="1" applyFill="1" applyBorder="1" applyAlignment="1">
      <alignment horizontal="center" vertical="center"/>
    </xf>
    <xf numFmtId="164" fontId="4" fillId="15" borderId="28" xfId="0" applyNumberFormat="1" applyFont="1" applyFill="1" applyBorder="1" applyAlignment="1" applyProtection="1">
      <alignment horizontal="center" vertical="center"/>
      <protection locked="0"/>
    </xf>
    <xf numFmtId="164" fontId="4" fillId="5" borderId="3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4" fillId="14" borderId="45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4" fillId="14" borderId="28" xfId="0" applyFont="1" applyFill="1" applyBorder="1" applyAlignment="1" applyProtection="1">
      <alignment horizontal="center" vertical="center"/>
      <protection locked="0"/>
    </xf>
    <xf numFmtId="0" fontId="4" fillId="14" borderId="17" xfId="0" applyFont="1" applyFill="1" applyBorder="1" applyAlignment="1" applyProtection="1">
      <alignment horizontal="center" vertical="center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0" fontId="29" fillId="0" borderId="27" xfId="0" applyFont="1" applyBorder="1" applyAlignment="1" applyProtection="1">
      <alignment horizontal="center" vertical="center" wrapText="1"/>
      <protection locked="0"/>
    </xf>
    <xf numFmtId="0" fontId="29" fillId="0" borderId="9" xfId="0" applyFont="1" applyBorder="1" applyAlignment="1" applyProtection="1">
      <alignment horizontal="center" vertical="center" wrapText="1"/>
      <protection locked="0"/>
    </xf>
    <xf numFmtId="0" fontId="29" fillId="5" borderId="1" xfId="0" applyFont="1" applyFill="1" applyBorder="1" applyAlignment="1" applyProtection="1">
      <alignment horizontal="center" vertical="center" wrapText="1"/>
      <protection locked="0"/>
    </xf>
    <xf numFmtId="0" fontId="29" fillId="5" borderId="2" xfId="0" applyFont="1" applyFill="1" applyBorder="1" applyAlignment="1" applyProtection="1">
      <alignment horizontal="center" vertical="center" wrapText="1"/>
      <protection locked="0"/>
    </xf>
    <xf numFmtId="164" fontId="38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5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 applyProtection="1">
      <alignment horizontal="center" vertical="center"/>
      <protection locked="0"/>
    </xf>
    <xf numFmtId="0" fontId="29" fillId="0" borderId="14" xfId="0" applyFont="1" applyBorder="1" applyAlignment="1" applyProtection="1">
      <alignment horizontal="center" vertical="center"/>
      <protection locked="0"/>
    </xf>
    <xf numFmtId="164" fontId="29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54" xfId="0" applyNumberFormat="1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0" fontId="32" fillId="12" borderId="13" xfId="0" applyFont="1" applyFill="1" applyBorder="1" applyAlignment="1">
      <alignment horizontal="center" vertical="center"/>
    </xf>
    <xf numFmtId="0" fontId="32" fillId="12" borderId="5" xfId="0" applyFont="1" applyFill="1" applyBorder="1" applyAlignment="1">
      <alignment horizontal="center" vertical="center"/>
    </xf>
    <xf numFmtId="164" fontId="26" fillId="2" borderId="21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2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4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20" xfId="0" applyFont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 applyProtection="1">
      <alignment horizontal="center" vertical="center" wrapText="1"/>
      <protection locked="0"/>
    </xf>
    <xf numFmtId="0" fontId="32" fillId="13" borderId="21" xfId="0" applyFont="1" applyFill="1" applyBorder="1" applyAlignment="1">
      <alignment horizontal="center" vertical="center"/>
    </xf>
    <xf numFmtId="0" fontId="32" fillId="13" borderId="23" xfId="0" applyFont="1" applyFill="1" applyBorder="1" applyAlignment="1">
      <alignment horizontal="center" vertical="center"/>
    </xf>
    <xf numFmtId="0" fontId="32" fillId="13" borderId="22" xfId="0" applyFont="1" applyFill="1" applyBorder="1" applyAlignment="1">
      <alignment horizontal="center" vertical="center"/>
    </xf>
    <xf numFmtId="0" fontId="32" fillId="13" borderId="24" xfId="0" applyFont="1" applyFill="1" applyBorder="1" applyAlignment="1">
      <alignment horizontal="center" vertical="center"/>
    </xf>
    <xf numFmtId="0" fontId="34" fillId="0" borderId="19" xfId="0" applyFont="1" applyBorder="1" applyAlignment="1" applyProtection="1">
      <alignment horizontal="center" vertical="center" wrapText="1"/>
      <protection locked="0"/>
    </xf>
    <xf numFmtId="0" fontId="34" fillId="0" borderId="7" xfId="0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30" fillId="3" borderId="46" xfId="0" applyFont="1" applyFill="1" applyBorder="1" applyAlignment="1" applyProtection="1">
      <alignment horizontal="left" vertical="center" wrapText="1"/>
      <protection locked="0"/>
    </xf>
    <xf numFmtId="0" fontId="4" fillId="3" borderId="47" xfId="0" applyFont="1" applyFill="1" applyBorder="1" applyAlignment="1" applyProtection="1">
      <alignment horizontal="left" vertical="center" wrapText="1"/>
      <protection locked="0"/>
    </xf>
    <xf numFmtId="0" fontId="4" fillId="3" borderId="48" xfId="0" applyFont="1" applyFill="1" applyBorder="1" applyAlignment="1" applyProtection="1">
      <alignment horizontal="left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4" fillId="10" borderId="14" xfId="0" applyFont="1" applyFill="1" applyBorder="1" applyAlignment="1" applyProtection="1">
      <alignment horizontal="center" vertical="center"/>
      <protection locked="0"/>
    </xf>
    <xf numFmtId="0" fontId="29" fillId="5" borderId="21" xfId="0" applyFont="1" applyFill="1" applyBorder="1" applyAlignment="1" applyProtection="1">
      <alignment horizontal="center" vertical="center" wrapText="1"/>
      <protection locked="0"/>
    </xf>
    <xf numFmtId="0" fontId="29" fillId="5" borderId="22" xfId="0" applyFont="1" applyFill="1" applyBorder="1" applyAlignment="1" applyProtection="1">
      <alignment horizontal="center" vertical="center" wrapText="1"/>
      <protection locked="0"/>
    </xf>
    <xf numFmtId="0" fontId="29" fillId="5" borderId="24" xfId="0" applyFont="1" applyFill="1" applyBorder="1" applyAlignment="1" applyProtection="1">
      <alignment horizontal="center" vertical="center" wrapText="1"/>
      <protection locked="0"/>
    </xf>
    <xf numFmtId="0" fontId="4" fillId="5" borderId="21" xfId="0" applyFont="1" applyFill="1" applyBorder="1" applyAlignment="1" applyProtection="1">
      <alignment horizontal="center" vertical="center" wrapText="1"/>
      <protection locked="0"/>
    </xf>
    <xf numFmtId="0" fontId="4" fillId="5" borderId="22" xfId="0" applyFont="1" applyFill="1" applyBorder="1" applyAlignment="1" applyProtection="1">
      <alignment horizontal="center" vertical="center" wrapText="1"/>
      <protection locked="0"/>
    </xf>
    <xf numFmtId="0" fontId="4" fillId="5" borderId="24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4" fillId="14" borderId="1" xfId="0" applyFont="1" applyFill="1" applyBorder="1" applyAlignment="1" applyProtection="1">
      <alignment horizontal="center" vertical="center"/>
      <protection locked="0"/>
    </xf>
    <xf numFmtId="0" fontId="4" fillId="14" borderId="14" xfId="0" applyFont="1" applyFill="1" applyBorder="1" applyAlignment="1" applyProtection="1">
      <alignment horizontal="center" vertical="center"/>
      <protection locked="0"/>
    </xf>
    <xf numFmtId="0" fontId="29" fillId="14" borderId="21" xfId="0" applyFont="1" applyFill="1" applyBorder="1" applyAlignment="1" applyProtection="1">
      <alignment horizontal="left" vertical="center" wrapText="1"/>
      <protection locked="0"/>
    </xf>
    <xf numFmtId="0" fontId="29" fillId="14" borderId="22" xfId="0" applyFont="1" applyFill="1" applyBorder="1" applyAlignment="1" applyProtection="1">
      <alignment horizontal="left" vertical="center" wrapText="1"/>
      <protection locked="0"/>
    </xf>
    <xf numFmtId="0" fontId="29" fillId="14" borderId="24" xfId="0" applyFont="1" applyFill="1" applyBorder="1" applyAlignment="1" applyProtection="1">
      <alignment horizontal="left" vertical="center" wrapText="1"/>
      <protection locked="0"/>
    </xf>
    <xf numFmtId="0" fontId="4" fillId="14" borderId="21" xfId="0" applyFont="1" applyFill="1" applyBorder="1" applyAlignment="1" applyProtection="1">
      <alignment vertical="center" wrapText="1"/>
      <protection locked="0"/>
    </xf>
    <xf numFmtId="0" fontId="4" fillId="14" borderId="22" xfId="0" applyFont="1" applyFill="1" applyBorder="1" applyAlignment="1" applyProtection="1">
      <alignment vertical="center" wrapText="1"/>
      <protection locked="0"/>
    </xf>
    <xf numFmtId="0" fontId="4" fillId="14" borderId="24" xfId="0" applyFont="1" applyFill="1" applyBorder="1" applyAlignment="1" applyProtection="1">
      <alignment vertical="center" wrapText="1"/>
      <protection locked="0"/>
    </xf>
    <xf numFmtId="0" fontId="29" fillId="14" borderId="42" xfId="0" applyFont="1" applyFill="1" applyBorder="1" applyAlignment="1" applyProtection="1">
      <alignment horizontal="left" vertical="center" wrapText="1"/>
      <protection locked="0"/>
    </xf>
    <xf numFmtId="0" fontId="29" fillId="14" borderId="49" xfId="0" applyFont="1" applyFill="1" applyBorder="1" applyAlignment="1" applyProtection="1">
      <alignment horizontal="left" vertical="center" wrapText="1"/>
      <protection locked="0"/>
    </xf>
    <xf numFmtId="0" fontId="29" fillId="14" borderId="43" xfId="0" applyFont="1" applyFill="1" applyBorder="1" applyAlignment="1" applyProtection="1">
      <alignment horizontal="left" vertical="center" wrapText="1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6" borderId="14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0" fontId="4" fillId="14" borderId="39" xfId="0" applyFont="1" applyFill="1" applyBorder="1" applyAlignment="1" applyProtection="1">
      <alignment horizontal="left" vertical="center" wrapText="1"/>
      <protection locked="0"/>
    </xf>
    <xf numFmtId="0" fontId="4" fillId="14" borderId="0" xfId="0" applyFont="1" applyFill="1" applyAlignment="1" applyProtection="1">
      <alignment horizontal="left" vertical="center" wrapText="1"/>
      <protection locked="0"/>
    </xf>
    <xf numFmtId="0" fontId="4" fillId="14" borderId="35" xfId="0" applyFont="1" applyFill="1" applyBorder="1" applyAlignment="1" applyProtection="1">
      <alignment horizontal="left" vertical="center" wrapText="1"/>
      <protection locked="0"/>
    </xf>
    <xf numFmtId="0" fontId="4" fillId="14" borderId="2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left" vertical="center" wrapText="1"/>
      <protection locked="0"/>
    </xf>
    <xf numFmtId="0" fontId="4" fillId="7" borderId="2" xfId="0" applyFont="1" applyFill="1" applyBorder="1" applyAlignment="1" applyProtection="1">
      <alignment horizontal="left" vertical="center" wrapText="1"/>
      <protection locked="0"/>
    </xf>
    <xf numFmtId="0" fontId="4" fillId="7" borderId="14" xfId="0" applyFont="1" applyFill="1" applyBorder="1" applyAlignment="1" applyProtection="1">
      <alignment horizontal="left" vertical="center" wrapText="1"/>
      <protection locked="0"/>
    </xf>
    <xf numFmtId="0" fontId="4" fillId="3" borderId="2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 wrapText="1"/>
    </xf>
    <xf numFmtId="0" fontId="32" fillId="13" borderId="14" xfId="0" applyFont="1" applyFill="1" applyBorder="1" applyAlignment="1">
      <alignment horizontal="center" vertical="center" wrapText="1"/>
    </xf>
    <xf numFmtId="0" fontId="4" fillId="14" borderId="39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30" fillId="6" borderId="1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0" fillId="6" borderId="14" xfId="0" applyFont="1" applyFill="1" applyBorder="1" applyAlignment="1">
      <alignment horizontal="left" vertical="center"/>
    </xf>
    <xf numFmtId="0" fontId="4" fillId="14" borderId="38" xfId="0" applyFont="1" applyFill="1" applyBorder="1" applyAlignment="1" applyProtection="1">
      <alignment horizontal="center" vertical="center"/>
      <protection locked="0"/>
    </xf>
    <xf numFmtId="0" fontId="4" fillId="14" borderId="18" xfId="0" applyFont="1" applyFill="1" applyBorder="1" applyAlignment="1" applyProtection="1">
      <alignment horizontal="center" vertical="center"/>
      <protection locked="0"/>
    </xf>
    <xf numFmtId="164" fontId="4" fillId="5" borderId="21" xfId="0" applyNumberFormat="1" applyFont="1" applyFill="1" applyBorder="1" applyAlignment="1" applyProtection="1">
      <alignment vertical="center" wrapText="1"/>
      <protection locked="0"/>
    </xf>
    <xf numFmtId="164" fontId="4" fillId="5" borderId="22" xfId="0" applyNumberFormat="1" applyFont="1" applyFill="1" applyBorder="1" applyAlignment="1" applyProtection="1">
      <alignment vertical="center" wrapText="1"/>
      <protection locked="0"/>
    </xf>
    <xf numFmtId="164" fontId="4" fillId="5" borderId="24" xfId="0" applyNumberFormat="1" applyFont="1" applyFill="1" applyBorder="1" applyAlignment="1" applyProtection="1">
      <alignment vertical="center" wrapText="1"/>
      <protection locked="0"/>
    </xf>
    <xf numFmtId="164" fontId="30" fillId="5" borderId="21" xfId="0" applyNumberFormat="1" applyFont="1" applyFill="1" applyBorder="1" applyAlignment="1" applyProtection="1">
      <alignment vertical="center" wrapText="1"/>
      <protection locked="0"/>
    </xf>
    <xf numFmtId="164" fontId="30" fillId="5" borderId="22" xfId="0" applyNumberFormat="1" applyFont="1" applyFill="1" applyBorder="1" applyAlignment="1" applyProtection="1">
      <alignment vertical="center" wrapText="1"/>
      <protection locked="0"/>
    </xf>
    <xf numFmtId="164" fontId="30" fillId="5" borderId="24" xfId="0" applyNumberFormat="1" applyFont="1" applyFill="1" applyBorder="1" applyAlignment="1" applyProtection="1">
      <alignment vertical="center" wrapText="1"/>
      <protection locked="0"/>
    </xf>
    <xf numFmtId="0" fontId="4" fillId="13" borderId="33" xfId="0" applyFont="1" applyFill="1" applyBorder="1" applyAlignment="1">
      <alignment horizontal="center" vertical="center" wrapText="1"/>
    </xf>
    <xf numFmtId="0" fontId="4" fillId="13" borderId="32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22" fontId="9" fillId="2" borderId="17" xfId="0" applyNumberFormat="1" applyFont="1" applyFill="1" applyBorder="1" applyAlignment="1">
      <alignment horizontal="center" vertical="center"/>
    </xf>
    <xf numFmtId="22" fontId="8" fillId="2" borderId="17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13" borderId="38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39" xfId="0" applyFont="1" applyFill="1" applyBorder="1" applyAlignment="1">
      <alignment horizontal="center" vertical="center"/>
    </xf>
    <xf numFmtId="0" fontId="4" fillId="13" borderId="35" xfId="0" applyFont="1" applyFill="1" applyBorder="1" applyAlignment="1">
      <alignment horizontal="center" vertical="center"/>
    </xf>
    <xf numFmtId="0" fontId="32" fillId="13" borderId="38" xfId="0" applyFont="1" applyFill="1" applyBorder="1" applyAlignment="1">
      <alignment horizontal="center" vertical="center" wrapText="1"/>
    </xf>
    <xf numFmtId="0" fontId="32" fillId="13" borderId="17" xfId="0" applyFont="1" applyFill="1" applyBorder="1" applyAlignment="1">
      <alignment horizontal="center" vertical="center" wrapText="1"/>
    </xf>
    <xf numFmtId="0" fontId="32" fillId="13" borderId="18" xfId="0" applyFont="1" applyFill="1" applyBorder="1" applyAlignment="1">
      <alignment horizontal="center" vertical="center" wrapText="1"/>
    </xf>
    <xf numFmtId="0" fontId="32" fillId="13" borderId="39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2" fillId="13" borderId="35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13" borderId="14" xfId="0" applyFont="1" applyFill="1" applyBorder="1" applyAlignment="1">
      <alignment horizontal="left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37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4" fontId="4" fillId="0" borderId="21" xfId="0" applyNumberFormat="1" applyFont="1" applyBorder="1" applyAlignment="1" applyProtection="1">
      <alignment vertical="center" wrapText="1"/>
      <protection locked="0"/>
    </xf>
    <xf numFmtId="164" fontId="4" fillId="0" borderId="22" xfId="0" applyNumberFormat="1" applyFont="1" applyBorder="1" applyAlignment="1" applyProtection="1">
      <alignment vertical="center" wrapText="1"/>
      <protection locked="0"/>
    </xf>
    <xf numFmtId="164" fontId="4" fillId="0" borderId="24" xfId="0" applyNumberFormat="1" applyFont="1" applyBorder="1" applyAlignment="1" applyProtection="1">
      <alignment vertical="center" wrapText="1"/>
      <protection locked="0"/>
    </xf>
    <xf numFmtId="14" fontId="32" fillId="13" borderId="1" xfId="0" applyNumberFormat="1" applyFont="1" applyFill="1" applyBorder="1" applyAlignment="1" applyProtection="1">
      <alignment horizontal="center" vertical="center"/>
      <protection locked="0"/>
    </xf>
    <xf numFmtId="14" fontId="32" fillId="13" borderId="2" xfId="0" applyNumberFormat="1" applyFont="1" applyFill="1" applyBorder="1" applyAlignment="1" applyProtection="1">
      <alignment horizontal="center" vertical="center"/>
      <protection locked="0"/>
    </xf>
    <xf numFmtId="14" fontId="32" fillId="13" borderId="14" xfId="0" applyNumberFormat="1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2"/>
  <sheetViews>
    <sheetView tabSelected="1" topLeftCell="A3" zoomScale="66" zoomScaleNormal="66" workbookViewId="0">
      <selection activeCell="G19" sqref="G19:J19"/>
    </sheetView>
  </sheetViews>
  <sheetFormatPr baseColWidth="10" defaultColWidth="10.75" defaultRowHeight="13.5" x14ac:dyDescent="0.15"/>
  <cols>
    <col min="1" max="1" width="12.5" style="1" customWidth="1"/>
    <col min="2" max="2" width="19.375" style="1" customWidth="1"/>
    <col min="3" max="3" width="17.75" style="1" customWidth="1"/>
    <col min="4" max="4" width="15.875" style="1" customWidth="1"/>
    <col min="5" max="5" width="16.375" style="1" customWidth="1"/>
    <col min="6" max="6" width="16.125" style="1" customWidth="1"/>
    <col min="7" max="7" width="15.75" style="1" customWidth="1"/>
    <col min="8" max="8" width="12.75" style="1" customWidth="1"/>
    <col min="9" max="9" width="42.625" style="1" customWidth="1"/>
    <col min="10" max="10" width="139.5" style="1" customWidth="1"/>
    <col min="11" max="11" width="24.125" style="1" customWidth="1"/>
    <col min="12" max="12" width="12.875" style="1" customWidth="1"/>
    <col min="13" max="13" width="12.5" style="1" customWidth="1"/>
    <col min="14" max="14" width="19.1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1.75" hidden="1" customHeight="1" thickBot="1" x14ac:dyDescent="0.2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5"/>
      <c r="K1" s="221" t="s">
        <v>1</v>
      </c>
      <c r="L1" s="43"/>
      <c r="M1" s="43"/>
    </row>
    <row r="2" spans="1:21" ht="3" hidden="1" customHeight="1" x14ac:dyDescent="0.15">
      <c r="A2" s="91"/>
      <c r="B2" s="92"/>
      <c r="C2" s="92"/>
      <c r="D2" s="92"/>
      <c r="E2" s="92"/>
      <c r="F2" s="92"/>
      <c r="G2" s="92"/>
      <c r="H2" s="92"/>
      <c r="I2" s="92"/>
      <c r="J2" s="93"/>
      <c r="K2" s="222"/>
      <c r="L2" s="14"/>
    </row>
    <row r="3" spans="1:21" ht="48.75" customHeight="1" thickBot="1" x14ac:dyDescent="0.2">
      <c r="A3" s="241"/>
      <c r="B3" s="242"/>
      <c r="C3" s="242"/>
      <c r="D3" s="242"/>
      <c r="E3" s="242"/>
      <c r="F3" s="242"/>
      <c r="G3" s="242"/>
      <c r="H3" s="242"/>
      <c r="I3" s="95" t="s">
        <v>33</v>
      </c>
      <c r="J3" s="109"/>
      <c r="K3" s="110"/>
      <c r="L3" s="14"/>
    </row>
    <row r="4" spans="1:21" ht="27.75" thickBot="1" x14ac:dyDescent="0.2">
      <c r="A4" s="94" t="s">
        <v>2</v>
      </c>
      <c r="B4" s="249">
        <v>46196</v>
      </c>
      <c r="C4" s="250"/>
      <c r="D4" s="251"/>
      <c r="E4" s="236" t="s">
        <v>35</v>
      </c>
      <c r="F4" s="237"/>
      <c r="G4" s="237"/>
      <c r="H4" s="237"/>
      <c r="I4" s="237"/>
      <c r="J4" s="238"/>
      <c r="K4" s="39"/>
      <c r="L4" s="15"/>
    </row>
    <row r="5" spans="1:21" ht="12.75" customHeight="1" thickBot="1" x14ac:dyDescent="0.2">
      <c r="A5" s="27"/>
      <c r="B5" s="28"/>
      <c r="C5" s="28"/>
      <c r="D5" s="28"/>
      <c r="E5" s="28"/>
      <c r="F5" s="28"/>
      <c r="G5" s="28"/>
      <c r="H5" s="28"/>
      <c r="I5" s="28"/>
      <c r="J5" s="28"/>
      <c r="K5" s="243"/>
      <c r="L5" s="16"/>
    </row>
    <row r="6" spans="1:21" ht="20.25" thickBot="1" x14ac:dyDescent="0.2">
      <c r="A6" s="223" t="s">
        <v>3</v>
      </c>
      <c r="B6" s="223" t="s">
        <v>4</v>
      </c>
      <c r="C6" s="224"/>
      <c r="D6" s="239" t="s">
        <v>5</v>
      </c>
      <c r="E6" s="239"/>
      <c r="F6" s="213" t="s">
        <v>6</v>
      </c>
      <c r="G6" s="215" t="s">
        <v>7</v>
      </c>
      <c r="H6" s="227" t="s">
        <v>8</v>
      </c>
      <c r="I6" s="228"/>
      <c r="J6" s="229"/>
      <c r="K6" s="243"/>
      <c r="M6" s="17"/>
    </row>
    <row r="7" spans="1:21" ht="20.25" thickBot="1" x14ac:dyDescent="0.2">
      <c r="A7" s="240"/>
      <c r="B7" s="225"/>
      <c r="C7" s="226"/>
      <c r="D7" s="47" t="s">
        <v>9</v>
      </c>
      <c r="E7" s="48" t="s">
        <v>10</v>
      </c>
      <c r="F7" s="214"/>
      <c r="G7" s="216"/>
      <c r="H7" s="230"/>
      <c r="I7" s="231"/>
      <c r="J7" s="232"/>
      <c r="K7" s="243"/>
    </row>
    <row r="8" spans="1:21" ht="20.25" thickBot="1" x14ac:dyDescent="0.2">
      <c r="A8" s="44" t="s">
        <v>11</v>
      </c>
      <c r="B8" s="244"/>
      <c r="C8" s="245"/>
      <c r="D8" s="50"/>
      <c r="E8" s="51"/>
      <c r="F8" s="103"/>
      <c r="G8" s="103"/>
      <c r="H8" s="246"/>
      <c r="I8" s="247"/>
      <c r="J8" s="248"/>
      <c r="K8" s="243"/>
    </row>
    <row r="9" spans="1:21" ht="20.25" thickBot="1" x14ac:dyDescent="0.2">
      <c r="A9" s="45" t="s">
        <v>12</v>
      </c>
      <c r="B9" s="244" t="s">
        <v>39</v>
      </c>
      <c r="C9" s="245"/>
      <c r="D9" s="50">
        <v>134</v>
      </c>
      <c r="E9" s="51"/>
      <c r="F9" s="113">
        <v>0.96875</v>
      </c>
      <c r="G9" s="103">
        <v>0.27638888888888891</v>
      </c>
      <c r="H9" s="207"/>
      <c r="I9" s="208"/>
      <c r="J9" s="209"/>
      <c r="K9" s="243"/>
      <c r="N9" s="18"/>
      <c r="O9" s="40"/>
      <c r="P9" s="40"/>
      <c r="Q9" s="40"/>
      <c r="R9" s="40"/>
      <c r="S9" s="40"/>
      <c r="T9" s="40"/>
      <c r="U9" s="40"/>
    </row>
    <row r="10" spans="1:21" ht="20.25" thickBot="1" x14ac:dyDescent="0.2">
      <c r="A10" s="45" t="s">
        <v>13</v>
      </c>
      <c r="B10" s="244" t="s">
        <v>41</v>
      </c>
      <c r="C10" s="245"/>
      <c r="D10" s="52">
        <v>135</v>
      </c>
      <c r="E10" s="51"/>
      <c r="F10" s="103">
        <v>6.9444444444444441E-3</v>
      </c>
      <c r="G10" s="103">
        <v>0.27638888888888891</v>
      </c>
      <c r="H10" s="210" t="s">
        <v>43</v>
      </c>
      <c r="I10" s="211"/>
      <c r="J10" s="212"/>
      <c r="K10" s="243"/>
      <c r="L10" s="19"/>
      <c r="M10" s="42"/>
      <c r="N10" s="42"/>
      <c r="O10" s="40"/>
      <c r="P10" s="40"/>
      <c r="Q10" s="40"/>
      <c r="R10" s="40"/>
      <c r="S10" s="40"/>
      <c r="T10" s="40"/>
      <c r="U10" s="40"/>
    </row>
    <row r="11" spans="1:21" ht="20.25" thickBot="1" x14ac:dyDescent="0.2">
      <c r="A11" s="46" t="s">
        <v>14</v>
      </c>
      <c r="B11" s="244" t="s">
        <v>40</v>
      </c>
      <c r="C11" s="245"/>
      <c r="D11" s="52">
        <v>140</v>
      </c>
      <c r="E11" s="51"/>
      <c r="F11" s="103">
        <v>0.98611111111111116</v>
      </c>
      <c r="G11" s="103">
        <v>0.27638888888888891</v>
      </c>
      <c r="H11" s="207" t="s">
        <v>42</v>
      </c>
      <c r="I11" s="208"/>
      <c r="J11" s="209"/>
      <c r="K11" s="243"/>
      <c r="L11" s="19"/>
      <c r="M11" s="42"/>
      <c r="N11" s="42"/>
      <c r="O11" s="40"/>
      <c r="P11" s="40"/>
      <c r="Q11" s="40"/>
      <c r="R11" s="40"/>
      <c r="S11" s="40"/>
      <c r="T11" s="40"/>
      <c r="U11" s="40"/>
    </row>
    <row r="12" spans="1:21" ht="13.5" customHeight="1" x14ac:dyDescent="0.15">
      <c r="A12" s="217"/>
      <c r="B12" s="217"/>
      <c r="C12" s="217"/>
      <c r="D12" s="218"/>
      <c r="E12" s="218"/>
      <c r="F12" s="2"/>
      <c r="G12" s="219"/>
      <c r="H12" s="219"/>
      <c r="I12" s="220"/>
      <c r="J12" s="220"/>
      <c r="K12" s="243"/>
      <c r="L12" s="20"/>
      <c r="O12" s="40"/>
      <c r="P12" s="40"/>
      <c r="Q12" s="40"/>
      <c r="R12" s="40"/>
      <c r="S12" s="40"/>
      <c r="T12" s="40"/>
      <c r="U12" s="40"/>
    </row>
    <row r="13" spans="1:21" ht="15" customHeight="1" thickBot="1" x14ac:dyDescent="0.2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243"/>
      <c r="L13" s="21"/>
    </row>
    <row r="14" spans="1:21" ht="13.5" hidden="1" customHeight="1" x14ac:dyDescent="0.1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43"/>
      <c r="L14" s="21"/>
    </row>
    <row r="15" spans="1:21" ht="31.5" customHeight="1" thickBot="1" x14ac:dyDescent="0.2">
      <c r="A15" s="195" t="s">
        <v>15</v>
      </c>
      <c r="B15" s="196"/>
      <c r="C15" s="49" t="s">
        <v>11</v>
      </c>
      <c r="D15" s="53" t="s">
        <v>12</v>
      </c>
      <c r="E15" s="49" t="s">
        <v>13</v>
      </c>
      <c r="F15" s="54" t="s">
        <v>14</v>
      </c>
      <c r="G15" s="197" t="s">
        <v>8</v>
      </c>
      <c r="H15" s="198"/>
      <c r="I15" s="198"/>
      <c r="J15" s="199"/>
      <c r="K15" s="243"/>
      <c r="M15" s="19"/>
      <c r="N15" s="22">
        <f>G8-F8+IF(F8&gt;G8,1)</f>
        <v>0</v>
      </c>
      <c r="O15" s="22">
        <f>G9-F9+IF(F9&gt;G9,1)</f>
        <v>0.30763888888888891</v>
      </c>
      <c r="P15" s="22">
        <f>G10-F10+IF(F10&gt;G10,1)</f>
        <v>0.26944444444444449</v>
      </c>
    </row>
    <row r="16" spans="1:21" ht="23.25" thickBot="1" x14ac:dyDescent="0.2">
      <c r="A16" s="184" t="s">
        <v>9</v>
      </c>
      <c r="B16" s="185"/>
      <c r="C16" s="55">
        <f>D8</f>
        <v>0</v>
      </c>
      <c r="D16" s="56">
        <f>D9</f>
        <v>134</v>
      </c>
      <c r="E16" s="57">
        <f>D10</f>
        <v>135</v>
      </c>
      <c r="F16" s="58">
        <f>D11</f>
        <v>140</v>
      </c>
      <c r="G16" s="202" t="s">
        <v>38</v>
      </c>
      <c r="H16" s="203"/>
      <c r="I16" s="203"/>
      <c r="J16" s="204"/>
      <c r="K16" s="243"/>
      <c r="L16" s="1" t="s">
        <v>16</v>
      </c>
      <c r="P16" s="22">
        <f>G11-F11+IF(F11&gt;G11,1)</f>
        <v>0.29027777777777775</v>
      </c>
    </row>
    <row r="17" spans="1:16" ht="20.25" thickBot="1" x14ac:dyDescent="0.2">
      <c r="A17" s="186" t="s">
        <v>10</v>
      </c>
      <c r="B17" s="187"/>
      <c r="C17" s="59">
        <f>E8</f>
        <v>0</v>
      </c>
      <c r="D17" s="60">
        <f>E9</f>
        <v>0</v>
      </c>
      <c r="E17" s="61">
        <f>E10</f>
        <v>0</v>
      </c>
      <c r="F17" s="62">
        <f>E11</f>
        <v>0</v>
      </c>
      <c r="G17" s="192"/>
      <c r="H17" s="193"/>
      <c r="I17" s="193"/>
      <c r="J17" s="194"/>
      <c r="K17" s="243"/>
      <c r="L17" s="115"/>
    </row>
    <row r="18" spans="1:16" ht="21" customHeight="1" thickBot="1" x14ac:dyDescent="0.2">
      <c r="A18" s="173" t="s">
        <v>17</v>
      </c>
      <c r="B18" s="191"/>
      <c r="C18" s="116">
        <v>0</v>
      </c>
      <c r="D18" s="117">
        <v>0</v>
      </c>
      <c r="E18" s="116">
        <v>1</v>
      </c>
      <c r="F18" s="117">
        <v>0</v>
      </c>
      <c r="G18" s="188"/>
      <c r="H18" s="189"/>
      <c r="I18" s="189"/>
      <c r="J18" s="190"/>
      <c r="K18" s="243"/>
    </row>
    <row r="19" spans="1:16" ht="20.25" thickBot="1" x14ac:dyDescent="0.2">
      <c r="A19" s="200" t="s">
        <v>18</v>
      </c>
      <c r="B19" s="201"/>
      <c r="C19" s="118">
        <v>0</v>
      </c>
      <c r="D19" s="119">
        <v>0</v>
      </c>
      <c r="E19" s="118">
        <v>0</v>
      </c>
      <c r="F19" s="119">
        <v>0</v>
      </c>
      <c r="G19" s="178"/>
      <c r="H19" s="179"/>
      <c r="I19" s="179"/>
      <c r="J19" s="180"/>
      <c r="K19" s="243"/>
      <c r="P19" s="1" t="s">
        <v>19</v>
      </c>
    </row>
    <row r="20" spans="1:16" ht="20.25" thickBot="1" x14ac:dyDescent="0.2">
      <c r="A20" s="205" t="s">
        <v>20</v>
      </c>
      <c r="B20" s="206"/>
      <c r="C20" s="96">
        <v>0</v>
      </c>
      <c r="D20" s="96">
        <v>3</v>
      </c>
      <c r="E20" s="96" t="s">
        <v>46</v>
      </c>
      <c r="F20" s="96">
        <v>4</v>
      </c>
      <c r="G20" s="181"/>
      <c r="H20" s="182"/>
      <c r="I20" s="182"/>
      <c r="J20" s="183"/>
      <c r="K20" s="243"/>
    </row>
    <row r="21" spans="1:16" ht="20.25" thickBot="1" x14ac:dyDescent="0.2">
      <c r="A21" s="173" t="s">
        <v>21</v>
      </c>
      <c r="B21" s="174"/>
      <c r="C21" s="97">
        <v>0</v>
      </c>
      <c r="D21" s="97">
        <v>0</v>
      </c>
      <c r="E21" s="97" t="s">
        <v>46</v>
      </c>
      <c r="F21" s="97">
        <v>0</v>
      </c>
      <c r="G21" s="175"/>
      <c r="H21" s="176"/>
      <c r="I21" s="176"/>
      <c r="J21" s="177"/>
      <c r="K21" s="243"/>
    </row>
    <row r="22" spans="1:16" ht="20.25" thickBot="1" x14ac:dyDescent="0.2">
      <c r="A22" s="158" t="s">
        <v>22</v>
      </c>
      <c r="B22" s="159"/>
      <c r="C22" s="63">
        <f>SUM(C16:C21)</f>
        <v>0</v>
      </c>
      <c r="D22" s="64">
        <f t="shared" ref="D22:E22" si="0">SUM(D16:D21)</f>
        <v>137</v>
      </c>
      <c r="E22" s="63">
        <f t="shared" si="0"/>
        <v>136</v>
      </c>
      <c r="F22" s="65">
        <f>SUM(F16:F21)</f>
        <v>144</v>
      </c>
      <c r="G22" s="160"/>
      <c r="H22" s="161"/>
      <c r="I22" s="161"/>
      <c r="J22" s="162"/>
      <c r="K22" s="243"/>
    </row>
    <row r="23" spans="1:16" ht="20.25" thickBot="1" x14ac:dyDescent="0.2">
      <c r="A23" s="163" t="s">
        <v>23</v>
      </c>
      <c r="B23" s="164"/>
      <c r="C23" s="66">
        <f>HOUR(N15)+MINUTE(N15)/60</f>
        <v>0</v>
      </c>
      <c r="D23" s="67">
        <f>HOUR(O15)+MINUTE(O15)/60</f>
        <v>7.3833333333333337</v>
      </c>
      <c r="E23" s="66">
        <f>HOUR(P15)+MINUTE(P15)/60</f>
        <v>6.4666666666666668</v>
      </c>
      <c r="F23" s="68">
        <f>HOUR(P16)+MINUTE(P16)/60</f>
        <v>6.9666666666666668</v>
      </c>
      <c r="G23" s="168" t="s">
        <v>16</v>
      </c>
      <c r="H23" s="169"/>
      <c r="I23" s="169"/>
      <c r="J23" s="170"/>
      <c r="K23" s="243"/>
    </row>
    <row r="24" spans="1:16" ht="18.75" customHeight="1" thickBot="1" x14ac:dyDescent="0.2">
      <c r="A24" s="163" t="s">
        <v>24</v>
      </c>
      <c r="B24" s="164"/>
      <c r="C24" s="69" t="e">
        <f>C22/C23</f>
        <v>#DIV/0!</v>
      </c>
      <c r="D24" s="70">
        <f>D22/D23</f>
        <v>18.555304740406321</v>
      </c>
      <c r="E24" s="69">
        <f>E22/E23</f>
        <v>21.030927835051546</v>
      </c>
      <c r="F24" s="71">
        <f>+F22/F23</f>
        <v>20.669856459330145</v>
      </c>
      <c r="G24" s="165"/>
      <c r="H24" s="166"/>
      <c r="I24" s="166"/>
      <c r="J24" s="167"/>
      <c r="K24" s="243"/>
      <c r="M24" s="40"/>
      <c r="P24" s="40"/>
    </row>
    <row r="25" spans="1:16" ht="13.5" customHeight="1" x14ac:dyDescent="0.1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243"/>
      <c r="L25" s="23"/>
      <c r="M25" s="40"/>
      <c r="P25" s="40"/>
    </row>
    <row r="26" spans="1:16" ht="27" customHeight="1" thickBot="1" x14ac:dyDescent="0.2">
      <c r="A26" s="172"/>
      <c r="B26" s="172"/>
      <c r="C26" s="172"/>
      <c r="D26" s="172"/>
      <c r="E26" s="172"/>
      <c r="F26" s="172"/>
      <c r="G26" s="172"/>
      <c r="H26" s="172"/>
      <c r="I26" s="172"/>
      <c r="J26" s="172"/>
      <c r="K26" s="243"/>
      <c r="L26" s="24"/>
      <c r="M26" s="40"/>
      <c r="P26" s="40"/>
    </row>
    <row r="27" spans="1:16" ht="23.25" thickBot="1" x14ac:dyDescent="0.2">
      <c r="A27" s="152" t="s">
        <v>34</v>
      </c>
      <c r="B27" s="153"/>
      <c r="C27" s="89" t="s">
        <v>25</v>
      </c>
      <c r="D27" s="90" t="s">
        <v>26</v>
      </c>
      <c r="E27" s="89" t="s">
        <v>27</v>
      </c>
      <c r="F27" s="152" t="s">
        <v>8</v>
      </c>
      <c r="G27" s="154"/>
      <c r="H27" s="154"/>
      <c r="I27" s="154"/>
      <c r="J27" s="155"/>
      <c r="K27" s="243"/>
      <c r="L27" s="105"/>
      <c r="M27" s="105"/>
      <c r="N27" s="19"/>
    </row>
    <row r="28" spans="1:16" ht="0.75" hidden="1" customHeight="1" x14ac:dyDescent="0.15">
      <c r="A28" s="156"/>
      <c r="B28" s="157"/>
      <c r="C28" s="72"/>
      <c r="D28" s="73"/>
      <c r="E28" s="74"/>
      <c r="F28" s="34"/>
      <c r="G28" s="29"/>
      <c r="H28" s="29"/>
      <c r="I28" s="29"/>
      <c r="J28" s="98"/>
      <c r="K28" s="243"/>
      <c r="L28" s="104" t="s">
        <v>32</v>
      </c>
    </row>
    <row r="29" spans="1:16" ht="19.5" hidden="1" customHeight="1" x14ac:dyDescent="0.15">
      <c r="A29" s="150"/>
      <c r="B29" s="151"/>
      <c r="C29" s="75">
        <v>0</v>
      </c>
      <c r="D29" s="76">
        <v>0</v>
      </c>
      <c r="E29" s="77">
        <v>0</v>
      </c>
      <c r="F29" s="35"/>
      <c r="G29" s="3"/>
      <c r="H29" s="3"/>
      <c r="I29" s="25"/>
      <c r="J29" s="106"/>
      <c r="K29" s="243"/>
      <c r="L29" s="104" t="s">
        <v>32</v>
      </c>
    </row>
    <row r="30" spans="1:16" ht="19.5" hidden="1" customHeight="1" x14ac:dyDescent="0.15">
      <c r="A30" s="150"/>
      <c r="B30" s="151"/>
      <c r="C30" s="75">
        <v>0</v>
      </c>
      <c r="D30" s="76">
        <v>0</v>
      </c>
      <c r="E30" s="77">
        <v>0</v>
      </c>
      <c r="F30" s="35"/>
      <c r="G30" s="3"/>
      <c r="H30" s="3"/>
      <c r="I30" s="25"/>
      <c r="J30" s="106"/>
      <c r="K30" s="243"/>
      <c r="L30" s="104" t="s">
        <v>32</v>
      </c>
    </row>
    <row r="31" spans="1:16" ht="19.5" hidden="1" customHeight="1" x14ac:dyDescent="0.15">
      <c r="A31" s="150"/>
      <c r="B31" s="151"/>
      <c r="C31" s="75">
        <v>0</v>
      </c>
      <c r="D31" s="76">
        <v>0</v>
      </c>
      <c r="E31" s="77">
        <v>0</v>
      </c>
      <c r="F31" s="35"/>
      <c r="G31" s="3"/>
      <c r="H31" s="3"/>
      <c r="I31" s="25"/>
      <c r="J31" s="106"/>
      <c r="K31" s="243"/>
      <c r="L31" s="104" t="s">
        <v>32</v>
      </c>
    </row>
    <row r="32" spans="1:16" ht="25.5" hidden="1" customHeight="1" x14ac:dyDescent="0.15">
      <c r="A32" s="150"/>
      <c r="B32" s="151"/>
      <c r="C32" s="75">
        <v>0</v>
      </c>
      <c r="D32" s="76">
        <v>0</v>
      </c>
      <c r="E32" s="77">
        <v>0</v>
      </c>
      <c r="F32" s="35"/>
      <c r="G32" s="3"/>
      <c r="H32" s="3"/>
      <c r="I32" s="25"/>
      <c r="J32" s="106"/>
      <c r="K32" s="243"/>
      <c r="L32" s="104" t="s">
        <v>32</v>
      </c>
    </row>
    <row r="33" spans="1:15" ht="0.75" hidden="1" customHeight="1" x14ac:dyDescent="0.15">
      <c r="A33" s="150"/>
      <c r="B33" s="151"/>
      <c r="C33" s="75">
        <v>0</v>
      </c>
      <c r="D33" s="76">
        <v>0</v>
      </c>
      <c r="E33" s="77">
        <v>0</v>
      </c>
      <c r="F33" s="35"/>
      <c r="G33" s="3"/>
      <c r="H33" s="3"/>
      <c r="I33" s="3"/>
      <c r="J33" s="107"/>
      <c r="K33" s="243"/>
      <c r="L33" s="104" t="s">
        <v>32</v>
      </c>
    </row>
    <row r="34" spans="1:15" ht="2.25" hidden="1" customHeight="1" thickBot="1" x14ac:dyDescent="0.2">
      <c r="A34" s="122"/>
      <c r="B34" s="123"/>
      <c r="C34" s="78">
        <v>0</v>
      </c>
      <c r="D34" s="79">
        <v>0</v>
      </c>
      <c r="E34" s="80">
        <v>0</v>
      </c>
      <c r="F34" s="36"/>
      <c r="G34" s="30"/>
      <c r="H34" s="30"/>
      <c r="I34" s="31"/>
      <c r="J34" s="108"/>
      <c r="K34" s="243"/>
      <c r="L34" s="104" t="s">
        <v>32</v>
      </c>
    </row>
    <row r="35" spans="1:15" s="101" customFormat="1" ht="20.25" thickBot="1" x14ac:dyDescent="0.2">
      <c r="A35" s="124" t="s">
        <v>36</v>
      </c>
      <c r="B35" s="125"/>
      <c r="C35" s="100">
        <v>0.95833333333333337</v>
      </c>
      <c r="D35" s="99">
        <v>4.1666666666666664E-2</v>
      </c>
      <c r="E35" s="102">
        <f>D35-C35+IF(C35&gt;D35,1)</f>
        <v>8.3333333333333259E-2</v>
      </c>
      <c r="F35" s="129" t="s">
        <v>37</v>
      </c>
      <c r="G35" s="130"/>
      <c r="H35" s="130"/>
      <c r="I35" s="130"/>
      <c r="J35" s="131"/>
      <c r="K35" s="243"/>
    </row>
    <row r="36" spans="1:15" ht="20.25" thickBot="1" x14ac:dyDescent="0.2">
      <c r="A36" s="124" t="s">
        <v>44</v>
      </c>
      <c r="B36" s="125"/>
      <c r="C36" s="111">
        <v>4.1666666666666664E-2</v>
      </c>
      <c r="D36" s="99">
        <v>9.375E-2</v>
      </c>
      <c r="E36" s="112">
        <f t="shared" ref="E36:E37" si="1">D36-C36+IF(C36&gt;D36,1)</f>
        <v>5.2083333333333336E-2</v>
      </c>
      <c r="F36" s="129" t="s">
        <v>45</v>
      </c>
      <c r="G36" s="130"/>
      <c r="H36" s="130"/>
      <c r="I36" s="130"/>
      <c r="J36" s="131"/>
      <c r="K36" s="243"/>
      <c r="L36" s="40"/>
      <c r="M36" s="40"/>
    </row>
    <row r="37" spans="1:15" ht="20.25" thickBot="1" x14ac:dyDescent="0.2">
      <c r="A37" s="120" t="s">
        <v>47</v>
      </c>
      <c r="B37" s="121"/>
      <c r="C37" s="83">
        <v>0.125</v>
      </c>
      <c r="D37" s="99">
        <v>0.15625</v>
      </c>
      <c r="E37" s="85">
        <f t="shared" si="1"/>
        <v>3.125E-2</v>
      </c>
      <c r="F37" s="126" t="s">
        <v>45</v>
      </c>
      <c r="G37" s="127"/>
      <c r="H37" s="127"/>
      <c r="I37" s="127"/>
      <c r="J37" s="128"/>
      <c r="K37" s="243"/>
      <c r="L37" s="40"/>
      <c r="M37" s="40"/>
    </row>
    <row r="38" spans="1:15" ht="20.25" customHeight="1" thickBot="1" x14ac:dyDescent="0.2">
      <c r="A38" s="132"/>
      <c r="B38" s="133"/>
      <c r="C38" s="86">
        <v>0</v>
      </c>
      <c r="D38" s="114">
        <v>0</v>
      </c>
      <c r="E38" s="82">
        <f>D38-C38+IF(C38&gt;D38,1)</f>
        <v>0</v>
      </c>
      <c r="F38" s="126"/>
      <c r="G38" s="127"/>
      <c r="H38" s="127"/>
      <c r="I38" s="127"/>
      <c r="J38" s="128"/>
      <c r="K38" s="243"/>
      <c r="L38" s="40"/>
      <c r="M38" s="40"/>
    </row>
    <row r="39" spans="1:15" ht="20.25" thickBot="1" x14ac:dyDescent="0.2">
      <c r="A39" s="120"/>
      <c r="B39" s="121"/>
      <c r="C39" s="88">
        <v>0</v>
      </c>
      <c r="D39" s="99">
        <v>0</v>
      </c>
      <c r="E39" s="82">
        <f t="shared" ref="E39:E42" si="2">D39-C39+IF(C39&gt;D39,1)</f>
        <v>0</v>
      </c>
      <c r="F39" s="134"/>
      <c r="G39" s="135"/>
      <c r="H39" s="135"/>
      <c r="I39" s="135"/>
      <c r="J39" s="136"/>
      <c r="K39" s="243"/>
      <c r="L39" s="40"/>
      <c r="M39" s="40"/>
    </row>
    <row r="40" spans="1:15" ht="19.5" customHeight="1" thickBot="1" x14ac:dyDescent="0.2">
      <c r="A40" s="120"/>
      <c r="B40" s="121"/>
      <c r="C40" s="88">
        <v>0</v>
      </c>
      <c r="D40" s="81">
        <v>0</v>
      </c>
      <c r="E40" s="82">
        <f>D40-C40+IF(C40&gt;D40,1)</f>
        <v>0</v>
      </c>
      <c r="F40" s="134"/>
      <c r="G40" s="135"/>
      <c r="H40" s="135"/>
      <c r="I40" s="135"/>
      <c r="J40" s="136"/>
      <c r="K40" s="243"/>
      <c r="L40" s="40"/>
      <c r="M40" s="40"/>
    </row>
    <row r="41" spans="1:15" ht="20.25" thickBot="1" x14ac:dyDescent="0.2">
      <c r="A41" s="120"/>
      <c r="B41" s="121"/>
      <c r="C41" s="86">
        <v>0</v>
      </c>
      <c r="D41" s="87">
        <v>0</v>
      </c>
      <c r="E41" s="84">
        <f>D41-C41+IF(C41&gt;D41,1)</f>
        <v>0</v>
      </c>
      <c r="F41" s="134"/>
      <c r="G41" s="135"/>
      <c r="H41" s="135"/>
      <c r="I41" s="135"/>
      <c r="J41" s="136"/>
      <c r="K41" s="243"/>
      <c r="L41" s="40"/>
      <c r="M41" s="40"/>
    </row>
    <row r="42" spans="1:15" ht="20.25" thickBot="1" x14ac:dyDescent="0.2">
      <c r="A42" s="120"/>
      <c r="B42" s="121"/>
      <c r="C42" s="88">
        <v>0</v>
      </c>
      <c r="D42" s="81">
        <v>0</v>
      </c>
      <c r="E42" s="82">
        <f t="shared" si="2"/>
        <v>0</v>
      </c>
      <c r="F42" s="147"/>
      <c r="G42" s="148"/>
      <c r="H42" s="148"/>
      <c r="I42" s="148"/>
      <c r="J42" s="149"/>
      <c r="K42" s="243"/>
      <c r="L42" s="40"/>
      <c r="M42" s="40"/>
    </row>
    <row r="43" spans="1:15" ht="20.25" thickBot="1" x14ac:dyDescent="0.2">
      <c r="A43" s="120"/>
      <c r="B43" s="121"/>
      <c r="C43" s="86">
        <v>0</v>
      </c>
      <c r="D43" s="87">
        <v>0</v>
      </c>
      <c r="E43" s="84">
        <f t="shared" ref="E43:E44" si="3">D43-C43+IF(C43&gt;D43,1)</f>
        <v>0</v>
      </c>
      <c r="F43" s="134" t="s">
        <v>30</v>
      </c>
      <c r="G43" s="135"/>
      <c r="H43" s="135"/>
      <c r="I43" s="135"/>
      <c r="J43" s="136"/>
      <c r="K43" s="243"/>
      <c r="L43" s="40"/>
      <c r="M43" s="40"/>
    </row>
    <row r="44" spans="1:15" ht="20.25" thickBot="1" x14ac:dyDescent="0.2">
      <c r="A44" s="120"/>
      <c r="B44" s="121"/>
      <c r="C44" s="88">
        <v>0</v>
      </c>
      <c r="D44" s="81">
        <v>0</v>
      </c>
      <c r="E44" s="82">
        <f t="shared" si="3"/>
        <v>0</v>
      </c>
      <c r="F44" s="144"/>
      <c r="G44" s="145"/>
      <c r="H44" s="145"/>
      <c r="I44" s="145"/>
      <c r="J44" s="146"/>
      <c r="K44" s="243"/>
      <c r="L44" s="40"/>
      <c r="M44" s="40"/>
    </row>
    <row r="45" spans="1:15" ht="20.100000000000001" customHeight="1" x14ac:dyDescent="0.15">
      <c r="A45" s="4"/>
      <c r="B45" s="4"/>
      <c r="C45" s="5"/>
      <c r="D45" s="5"/>
      <c r="E45" s="6"/>
      <c r="F45" s="32"/>
      <c r="G45" s="33"/>
      <c r="H45" s="33"/>
      <c r="I45" s="33"/>
      <c r="J45" s="33"/>
      <c r="K45" s="243"/>
      <c r="L45" s="40"/>
      <c r="M45" s="40"/>
    </row>
    <row r="46" spans="1:15" ht="20.100000000000001" customHeight="1" thickBot="1" x14ac:dyDescent="0.2">
      <c r="A46" s="137"/>
      <c r="B46" s="137"/>
      <c r="C46" s="8"/>
      <c r="D46" s="6"/>
      <c r="E46" s="6"/>
      <c r="F46" s="6"/>
      <c r="G46" s="9"/>
      <c r="H46" s="9"/>
      <c r="I46" s="9"/>
      <c r="J46" s="9"/>
      <c r="K46" s="40"/>
      <c r="L46" s="40"/>
      <c r="M46" s="40"/>
    </row>
    <row r="47" spans="1:15" ht="23.25" thickBot="1" x14ac:dyDescent="0.2">
      <c r="A47" s="137"/>
      <c r="B47" s="137"/>
      <c r="C47" s="8"/>
      <c r="D47" s="8"/>
      <c r="E47" s="8"/>
      <c r="F47" s="8"/>
      <c r="G47" s="138" t="s">
        <v>28</v>
      </c>
      <c r="H47" s="139"/>
      <c r="I47" s="140"/>
      <c r="J47" s="26"/>
      <c r="K47" s="39"/>
      <c r="L47" s="39"/>
    </row>
    <row r="48" spans="1:15" ht="23.25" thickBot="1" x14ac:dyDescent="0.2">
      <c r="A48" s="137"/>
      <c r="B48" s="137"/>
      <c r="C48" s="8"/>
      <c r="D48" s="8"/>
      <c r="E48" s="8"/>
      <c r="F48" s="8"/>
      <c r="G48" s="141" t="s">
        <v>31</v>
      </c>
      <c r="H48" s="142"/>
      <c r="I48" s="143"/>
      <c r="J48" s="9"/>
      <c r="K48" s="40"/>
      <c r="L48" s="40"/>
      <c r="M48" s="40"/>
      <c r="N48" s="40"/>
      <c r="O48" s="40"/>
    </row>
    <row r="49" spans="1:15" ht="20.100000000000001" customHeight="1" x14ac:dyDescent="0.15">
      <c r="A49" s="7"/>
      <c r="B49" s="7"/>
      <c r="C49" s="8"/>
      <c r="D49" s="8"/>
      <c r="E49" s="8"/>
      <c r="F49" s="8"/>
      <c r="G49" s="10"/>
      <c r="H49" s="10"/>
      <c r="I49" s="37"/>
      <c r="J49" s="38"/>
      <c r="K49" s="40"/>
      <c r="L49" s="40"/>
      <c r="M49" s="40"/>
      <c r="N49" s="40"/>
      <c r="O49" s="40"/>
    </row>
    <row r="50" spans="1:15" ht="16.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0"/>
      <c r="L50" s="40"/>
      <c r="M50" s="40"/>
      <c r="N50" s="40"/>
      <c r="O50" s="40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3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 t="s">
        <v>29</v>
      </c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  <row r="82" spans="3:3" x14ac:dyDescent="0.15">
      <c r="C82" s="12"/>
    </row>
  </sheetData>
  <mergeCells count="79">
    <mergeCell ref="K1:K2"/>
    <mergeCell ref="B6:C7"/>
    <mergeCell ref="H6:J7"/>
    <mergeCell ref="A1:J1"/>
    <mergeCell ref="E4:J4"/>
    <mergeCell ref="D6:E6"/>
    <mergeCell ref="A6:A7"/>
    <mergeCell ref="A3:H3"/>
    <mergeCell ref="K5:K45"/>
    <mergeCell ref="B8:C8"/>
    <mergeCell ref="H8:J8"/>
    <mergeCell ref="B4:D4"/>
    <mergeCell ref="B10:C10"/>
    <mergeCell ref="H11:J11"/>
    <mergeCell ref="B11:C11"/>
    <mergeCell ref="B9:C9"/>
    <mergeCell ref="H9:J9"/>
    <mergeCell ref="H10:J10"/>
    <mergeCell ref="F6:F7"/>
    <mergeCell ref="G6:G7"/>
    <mergeCell ref="A12:C12"/>
    <mergeCell ref="D12:E12"/>
    <mergeCell ref="G12:H12"/>
    <mergeCell ref="I12:J12"/>
    <mergeCell ref="A15:B15"/>
    <mergeCell ref="G15:J15"/>
    <mergeCell ref="A19:B19"/>
    <mergeCell ref="G16:J16"/>
    <mergeCell ref="A20:B20"/>
    <mergeCell ref="A21:B21"/>
    <mergeCell ref="G21:J21"/>
    <mergeCell ref="G19:J19"/>
    <mergeCell ref="G20:J20"/>
    <mergeCell ref="A16:B16"/>
    <mergeCell ref="A17:B17"/>
    <mergeCell ref="G18:J18"/>
    <mergeCell ref="A18:B18"/>
    <mergeCell ref="G17:J17"/>
    <mergeCell ref="A27:B27"/>
    <mergeCell ref="F27:J27"/>
    <mergeCell ref="A28:B28"/>
    <mergeCell ref="A22:B22"/>
    <mergeCell ref="G22:J22"/>
    <mergeCell ref="A23:B23"/>
    <mergeCell ref="G24:J24"/>
    <mergeCell ref="G23:J23"/>
    <mergeCell ref="A25:J26"/>
    <mergeCell ref="A24:B24"/>
    <mergeCell ref="A29:B29"/>
    <mergeCell ref="A30:B30"/>
    <mergeCell ref="A31:B31"/>
    <mergeCell ref="A32:B32"/>
    <mergeCell ref="A33:B33"/>
    <mergeCell ref="A47:B47"/>
    <mergeCell ref="G47:I47"/>
    <mergeCell ref="A48:B48"/>
    <mergeCell ref="G48:I48"/>
    <mergeCell ref="A40:B40"/>
    <mergeCell ref="A43:B43"/>
    <mergeCell ref="F43:J43"/>
    <mergeCell ref="A44:B44"/>
    <mergeCell ref="F44:J44"/>
    <mergeCell ref="A42:B42"/>
    <mergeCell ref="F42:J42"/>
    <mergeCell ref="A41:B41"/>
    <mergeCell ref="F41:J41"/>
    <mergeCell ref="A46:B46"/>
    <mergeCell ref="F40:J40"/>
    <mergeCell ref="A39:B39"/>
    <mergeCell ref="A37:B37"/>
    <mergeCell ref="A34:B34"/>
    <mergeCell ref="A35:B35"/>
    <mergeCell ref="F38:J38"/>
    <mergeCell ref="A36:B36"/>
    <mergeCell ref="F36:J36"/>
    <mergeCell ref="F35:J35"/>
    <mergeCell ref="F37:J37"/>
    <mergeCell ref="A38:B38"/>
    <mergeCell ref="F39:J39"/>
  </mergeCells>
  <phoneticPr fontId="3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DHOUM Mustapha</cp:lastModifiedBy>
  <cp:lastPrinted>2026-05-22T13:21:27Z</cp:lastPrinted>
  <dcterms:created xsi:type="dcterms:W3CDTF">2024-06-15T14:24:00Z</dcterms:created>
  <dcterms:modified xsi:type="dcterms:W3CDTF">2026-06-24T05:40:20Z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