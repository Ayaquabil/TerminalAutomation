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rraji\OneDrive - SOMAPORT\Bureau\MASTERY D\"/>
    </mc:Choice>
  </mc:AlternateContent>
  <xr:revisionPtr revIDLastSave="0" documentId="13_ncr:1_{0BDF4CB2-BACD-43C8-8BD2-EEE18DFFE467}" xr6:coauthVersionLast="47" xr6:coauthVersionMax="47" xr10:uidLastSave="{00000000-0000-0000-0000-000000000000}"/>
  <bookViews>
    <workbookView xWindow="14295" yWindow="0" windowWidth="14610" windowHeight="15585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D17" i="1"/>
  <c r="C16" i="1"/>
  <c r="E40" i="1" l="1"/>
  <c r="E41" i="1"/>
  <c r="E35" i="1" l="1"/>
  <c r="E17" i="1" l="1"/>
  <c r="D16" i="1"/>
  <c r="C17" i="1"/>
  <c r="E38" i="1"/>
  <c r="E42" i="1"/>
  <c r="E16" i="1"/>
  <c r="F16" i="1" l="1"/>
  <c r="D22" i="1"/>
  <c r="E44" i="1"/>
  <c r="E36" i="1"/>
  <c r="E43" i="1"/>
  <c r="E39" i="1"/>
  <c r="E37" i="1"/>
  <c r="P16" i="1"/>
  <c r="F23" i="1" s="1"/>
  <c r="P15" i="1"/>
  <c r="E23" i="1" s="1"/>
  <c r="O15" i="1"/>
  <c r="D23" i="1" s="1"/>
  <c r="N15" i="1"/>
  <c r="C23" i="1" s="1"/>
  <c r="F22" i="1" l="1"/>
  <c r="F24" i="1" s="1"/>
  <c r="D24" i="1"/>
  <c r="C22" i="1"/>
  <c r="C24" i="1" s="1"/>
  <c r="E22" i="1"/>
  <c r="E24" i="1" s="1"/>
</calcChain>
</file>

<file path=xl/sharedStrings.xml><?xml version="1.0" encoding="utf-8"?>
<sst xmlns="http://schemas.openxmlformats.org/spreadsheetml/2006/main" count="66" uniqueCount="48">
  <si>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</si>
  <si>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</si>
  <si>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</si>
  <si>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</si>
  <si>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</si>
  <si>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</si>
  <si>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</si>
  <si>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</si>
  <si>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</si>
  <si>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</si>
  <si>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</si>
  <si>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</si>
  <si>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</si>
  <si>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</si>
  <si>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</si>
  <si>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</si>
  <si>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</si>
  <si>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</si>
  <si>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</si>
  <si>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</si>
  <si>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</si>
  <si>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</si>
  <si>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</si>
  <si>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</si>
  <si>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</si>
  <si>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</si>
  <si>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Début</t>
  </si>
  <si>
    <t>Fin</t>
  </si>
  <si>
    <t>Durée</t>
  </si>
  <si>
    <t>Responsable de shift</t>
  </si>
  <si>
    <t xml:space="preserve">  </t>
  </si>
  <si>
    <t xml:space="preserve">       </t>
  </si>
  <si>
    <t>DHOUM   MUSTAPHA</t>
  </si>
  <si>
    <t xml:space="preserve"> TCs vides  non sur parc embarqué (CMA)</t>
  </si>
  <si>
    <t>navire</t>
  </si>
  <si>
    <t xml:space="preserve"> position </t>
  </si>
  <si>
    <t xml:space="preserve">        SHIFT REPORT   </t>
  </si>
  <si>
    <t xml:space="preserve">NAVIOS AZURE </t>
  </si>
  <si>
    <r>
      <t xml:space="preserve">     </t>
    </r>
    <r>
      <rPr>
        <b/>
        <sz val="20"/>
        <rFont val="Tahoma"/>
        <family val="2"/>
      </rPr>
      <t xml:space="preserve">                        </t>
    </r>
    <r>
      <rPr>
        <b/>
        <sz val="16"/>
        <rFont val="Tahoma"/>
        <family val="2"/>
      </rPr>
      <t xml:space="preserve">                       </t>
    </r>
    <r>
      <rPr>
        <b/>
        <sz val="22"/>
        <rFont val="Tahoma"/>
        <family val="2"/>
      </rPr>
      <t xml:space="preserve"> 3eme shift</t>
    </r>
  </si>
  <si>
    <t xml:space="preserve">la congestion </t>
  </si>
  <si>
    <t>HYD</t>
  </si>
  <si>
    <t>dégagement de p1 et mvt de l'avant bec de p2</t>
  </si>
  <si>
    <t xml:space="preserve">translation et mvt de l'avant bec </t>
  </si>
  <si>
    <t xml:space="preserve">SOPC ; ENPC ; transfert vides </t>
  </si>
  <si>
    <t>shifting parc pleins ** Pleins non localisés **p3 : EMBA des 20' en single</t>
  </si>
  <si>
    <t>Parc saturé . Des pannes répetitives d'RTG 13</t>
  </si>
  <si>
    <r>
      <t xml:space="preserve">Préparation de shift et attente exp/pleins liée au déplacement </t>
    </r>
    <r>
      <rPr>
        <b/>
        <sz val="16"/>
        <color rgb="FFFF0000"/>
        <rFont val="Tahoma"/>
        <family val="2"/>
      </rPr>
      <t>d'RTG 11</t>
    </r>
  </si>
  <si>
    <t>mastery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</si>
</sst>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2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2"/>
      <color theme="1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color rgb="FFFF0000"/>
      <name val="Tahoma"/>
      <family val="2"/>
    </font>
    <font>
      <b/>
      <i/>
      <sz val="12"/>
      <color theme="1"/>
      <name val="Tahoma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b/>
      <sz val="12"/>
      <color theme="1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20"/>
      <name val="Tahoma"/>
      <family val="2"/>
    </font>
    <font>
      <sz val="16"/>
      <name val="Tahoma"/>
      <family val="2"/>
    </font>
    <font>
      <b/>
      <i/>
      <sz val="16"/>
      <color rgb="FFFF0000"/>
      <name val="Arial"/>
      <family val="2"/>
    </font>
    <font>
      <b/>
      <i/>
      <sz val="16"/>
      <name val="Aptos Narrow"/>
      <family val="2"/>
      <scheme val="minor"/>
    </font>
    <font>
      <b/>
      <i/>
      <sz val="16"/>
      <name val="Arial"/>
      <family val="2"/>
    </font>
    <font>
      <b/>
      <sz val="22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8F2F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0" fontId="26" fillId="0" borderId="0"/>
    <xf numFmtId="0" fontId="1" fillId="0" borderId="0"/>
    <xf numFmtId="0" fontId="1" fillId="0" borderId="0"/>
  </cellStyleXfs>
  <cellXfs count="262">
    <xf numFmtId="0" fontId="0" fillId="0" borderId="0" xfId="0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2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13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5" fontId="28" fillId="0" borderId="0" xfId="0" applyNumberFormat="1" applyFont="1" applyAlignment="1">
      <alignment horizontal="center" vertical="center"/>
    </xf>
    <xf numFmtId="0" fontId="30" fillId="0" borderId="0" xfId="0" applyFont="1" applyAlignment="1" applyProtection="1">
      <alignment horizontal="center" vertical="center" wrapText="1"/>
      <protection locked="0"/>
    </xf>
    <xf numFmtId="0" fontId="0" fillId="0" borderId="19" xfId="0" applyBorder="1" applyAlignment="1">
      <alignment horizontal="center" vertical="center"/>
    </xf>
    <xf numFmtId="164" fontId="13" fillId="2" borderId="20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>
      <alignment horizontal="center" vertical="center"/>
    </xf>
    <xf numFmtId="0" fontId="29" fillId="0" borderId="0" xfId="2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1" fillId="0" borderId="0" xfId="2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vertical="center"/>
    </xf>
    <xf numFmtId="164" fontId="4" fillId="0" borderId="0" xfId="0" applyNumberFormat="1" applyFont="1" applyAlignment="1" applyProtection="1">
      <alignment vertical="center" wrapText="1"/>
      <protection locked="0"/>
    </xf>
    <xf numFmtId="0" fontId="20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3" fillId="4" borderId="3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7" borderId="38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11" borderId="36" xfId="0" applyFont="1" applyFill="1" applyBorder="1" applyAlignment="1" applyProtection="1">
      <alignment horizontal="center" vertical="center"/>
      <protection locked="0"/>
    </xf>
    <xf numFmtId="0" fontId="3" fillId="7" borderId="28" xfId="0" applyFont="1" applyFill="1" applyBorder="1" applyAlignment="1" applyProtection="1">
      <alignment horizontal="center" vertical="center"/>
      <protection locked="0"/>
    </xf>
    <xf numFmtId="0" fontId="3" fillId="9" borderId="36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3" fillId="9" borderId="28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33" fillId="7" borderId="36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27" fillId="3" borderId="28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2" fontId="3" fillId="10" borderId="28" xfId="0" applyNumberFormat="1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/>
    </xf>
    <xf numFmtId="2" fontId="3" fillId="10" borderId="14" xfId="0" applyNumberFormat="1" applyFont="1" applyFill="1" applyBorder="1" applyAlignment="1">
      <alignment horizontal="center" vertical="center"/>
    </xf>
    <xf numFmtId="2" fontId="3" fillId="10" borderId="36" xfId="0" applyNumberFormat="1" applyFont="1" applyFill="1" applyBorder="1" applyAlignment="1">
      <alignment horizontal="center" vertical="center"/>
    </xf>
    <xf numFmtId="2" fontId="3" fillId="10" borderId="25" xfId="0" applyNumberFormat="1" applyFont="1" applyFill="1" applyBorder="1" applyAlignment="1">
      <alignment horizontal="center" vertical="center"/>
    </xf>
    <xf numFmtId="2" fontId="3" fillId="10" borderId="26" xfId="0" applyNumberFormat="1" applyFont="1" applyFill="1" applyBorder="1" applyAlignment="1">
      <alignment horizontal="center" vertical="center"/>
    </xf>
    <xf numFmtId="164" fontId="37" fillId="0" borderId="30" xfId="0" applyNumberFormat="1" applyFont="1" applyBorder="1" applyAlignment="1" applyProtection="1">
      <alignment horizontal="center" vertical="center"/>
      <protection locked="0"/>
    </xf>
    <xf numFmtId="164" fontId="37" fillId="0" borderId="15" xfId="0" applyNumberFormat="1" applyFont="1" applyBorder="1" applyAlignment="1" applyProtection="1">
      <alignment horizontal="center" vertical="center"/>
      <protection locked="0"/>
    </xf>
    <xf numFmtId="164" fontId="37" fillId="8" borderId="30" xfId="0" applyNumberFormat="1" applyFont="1" applyFill="1" applyBorder="1" applyAlignment="1">
      <alignment horizontal="center" vertical="center"/>
    </xf>
    <xf numFmtId="164" fontId="37" fillId="0" borderId="29" xfId="0" applyNumberFormat="1" applyFont="1" applyBorder="1" applyAlignment="1" applyProtection="1">
      <alignment horizontal="center" vertical="center"/>
      <protection locked="0"/>
    </xf>
    <xf numFmtId="164" fontId="37" fillId="0" borderId="16" xfId="0" applyNumberFormat="1" applyFont="1" applyBorder="1" applyAlignment="1" applyProtection="1">
      <alignment horizontal="center" vertical="center"/>
      <protection locked="0"/>
    </xf>
    <xf numFmtId="164" fontId="37" fillId="8" borderId="29" xfId="0" applyNumberFormat="1" applyFont="1" applyFill="1" applyBorder="1" applyAlignment="1">
      <alignment horizontal="center" vertical="center"/>
    </xf>
    <xf numFmtId="164" fontId="37" fillId="0" borderId="32" xfId="0" applyNumberFormat="1" applyFont="1" applyBorder="1" applyAlignment="1" applyProtection="1">
      <alignment horizontal="center" vertical="center"/>
      <protection locked="0"/>
    </xf>
    <xf numFmtId="164" fontId="37" fillId="0" borderId="34" xfId="0" applyNumberFormat="1" applyFont="1" applyBorder="1" applyAlignment="1" applyProtection="1">
      <alignment horizontal="center" vertical="center"/>
      <protection locked="0"/>
    </xf>
    <xf numFmtId="164" fontId="37" fillId="8" borderId="32" xfId="0" applyNumberFormat="1" applyFont="1" applyFill="1" applyBorder="1" applyAlignment="1">
      <alignment horizontal="center" vertical="center"/>
    </xf>
    <xf numFmtId="164" fontId="3" fillId="0" borderId="14" xfId="0" applyNumberFormat="1" applyFont="1" applyBorder="1" applyAlignment="1" applyProtection="1">
      <alignment horizontal="center" vertical="center"/>
      <protection locked="0"/>
    </xf>
    <xf numFmtId="164" fontId="3" fillId="8" borderId="28" xfId="0" applyNumberFormat="1" applyFont="1" applyFill="1" applyBorder="1" applyAlignment="1">
      <alignment horizontal="center" vertical="center"/>
    </xf>
    <xf numFmtId="164" fontId="3" fillId="0" borderId="36" xfId="0" applyNumberFormat="1" applyFont="1" applyBorder="1" applyAlignment="1" applyProtection="1">
      <alignment horizontal="center" vertical="center"/>
      <protection locked="0"/>
    </xf>
    <xf numFmtId="164" fontId="3" fillId="8" borderId="44" xfId="0" applyNumberFormat="1" applyFont="1" applyFill="1" applyBorder="1" applyAlignment="1">
      <alignment horizontal="center" vertical="center"/>
    </xf>
    <xf numFmtId="164" fontId="3" fillId="8" borderId="45" xfId="0" applyNumberFormat="1" applyFont="1" applyFill="1" applyBorder="1" applyAlignment="1">
      <alignment horizontal="center" vertical="center"/>
    </xf>
    <xf numFmtId="164" fontId="3" fillId="0" borderId="44" xfId="0" applyNumberFormat="1" applyFont="1" applyBorder="1" applyAlignment="1" applyProtection="1">
      <alignment horizontal="center" vertical="center"/>
      <protection locked="0"/>
    </xf>
    <xf numFmtId="164" fontId="3" fillId="0" borderId="35" xfId="0" applyNumberFormat="1" applyFont="1" applyBorder="1" applyAlignment="1" applyProtection="1">
      <alignment horizontal="center" vertical="center"/>
      <protection locked="0"/>
    </xf>
    <xf numFmtId="164" fontId="3" fillId="0" borderId="28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164" fontId="13" fillId="0" borderId="10" xfId="0" applyNumberFormat="1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5" fillId="14" borderId="28" xfId="0" applyFont="1" applyFill="1" applyBorder="1" applyAlignment="1">
      <alignment horizontal="center" vertical="center"/>
    </xf>
    <xf numFmtId="0" fontId="35" fillId="14" borderId="14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right" vertical="center"/>
    </xf>
    <xf numFmtId="0" fontId="0" fillId="0" borderId="53" xfId="0" applyBorder="1" applyAlignment="1">
      <alignment horizontal="center" vertical="center"/>
    </xf>
    <xf numFmtId="0" fontId="3" fillId="15" borderId="45" xfId="0" applyFont="1" applyFill="1" applyBorder="1" applyAlignment="1" applyProtection="1">
      <alignment horizontal="center" vertical="center"/>
      <protection locked="0"/>
    </xf>
    <xf numFmtId="0" fontId="3" fillId="15" borderId="0" xfId="0" applyFont="1" applyFill="1" applyAlignment="1" applyProtection="1">
      <alignment horizontal="center" vertical="center"/>
      <protection locked="0"/>
    </xf>
    <xf numFmtId="0" fontId="3" fillId="15" borderId="28" xfId="0" applyFont="1" applyFill="1" applyBorder="1" applyAlignment="1" applyProtection="1">
      <alignment horizontal="center" vertical="center"/>
      <protection locked="0"/>
    </xf>
    <xf numFmtId="0" fontId="3" fillId="15" borderId="17" xfId="0" applyFont="1" applyFill="1" applyBorder="1" applyAlignment="1" applyProtection="1">
      <alignment horizontal="center" vertical="center"/>
      <protection locked="0"/>
    </xf>
    <xf numFmtId="0" fontId="32" fillId="16" borderId="1" xfId="0" applyFont="1" applyFill="1" applyBorder="1" applyAlignment="1" applyProtection="1">
      <alignment horizontal="center" vertical="center"/>
      <protection locked="0"/>
    </xf>
    <xf numFmtId="0" fontId="32" fillId="16" borderId="37" xfId="0" applyFont="1" applyFill="1" applyBorder="1" applyAlignment="1" applyProtection="1">
      <alignment horizontal="center" vertical="center"/>
      <protection locked="0"/>
    </xf>
    <xf numFmtId="0" fontId="38" fillId="14" borderId="5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55" xfId="0" applyBorder="1" applyAlignment="1">
      <alignment vertical="center"/>
    </xf>
    <xf numFmtId="0" fontId="38" fillId="14" borderId="56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40" fillId="14" borderId="58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40" fillId="14" borderId="28" xfId="0" applyFont="1" applyFill="1" applyBorder="1" applyAlignment="1">
      <alignment horizontal="center" vertical="center"/>
    </xf>
    <xf numFmtId="164" fontId="3" fillId="5" borderId="14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Alignment="1">
      <alignment horizontal="center" vertical="center"/>
    </xf>
    <xf numFmtId="0" fontId="39" fillId="14" borderId="28" xfId="0" applyFont="1" applyFill="1" applyBorder="1" applyAlignment="1">
      <alignment horizontal="center" vertical="center" wrapText="1"/>
    </xf>
    <xf numFmtId="164" fontId="3" fillId="5" borderId="50" xfId="0" applyNumberFormat="1" applyFont="1" applyFill="1" applyBorder="1" applyAlignment="1" applyProtection="1">
      <alignment horizontal="center" vertical="center"/>
      <protection locked="0"/>
    </xf>
    <xf numFmtId="0" fontId="0" fillId="5" borderId="29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3" fillId="16" borderId="28" xfId="0" applyNumberFormat="1" applyFont="1" applyFill="1" applyBorder="1" applyAlignment="1">
      <alignment horizontal="center" vertical="center"/>
    </xf>
    <xf numFmtId="164" fontId="3" fillId="16" borderId="28" xfId="0" applyNumberFormat="1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3" fillId="14" borderId="38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4" borderId="39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8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3" fillId="14" borderId="18" xfId="0" applyFont="1" applyFill="1" applyBorder="1" applyAlignment="1">
      <alignment horizontal="center" vertical="center" wrapText="1"/>
    </xf>
    <xf numFmtId="0" fontId="3" fillId="14" borderId="39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0" fontId="36" fillId="3" borderId="2" xfId="0" applyFont="1" applyFill="1" applyBorder="1" applyAlignment="1">
      <alignment horizontal="center" vertical="center"/>
    </xf>
    <xf numFmtId="0" fontId="36" fillId="3" borderId="14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left" vertical="center"/>
    </xf>
    <xf numFmtId="0" fontId="3" fillId="14" borderId="2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14" borderId="17" xfId="0" applyFont="1" applyFill="1" applyBorder="1" applyAlignment="1">
      <alignment horizontal="center" vertical="center"/>
    </xf>
    <xf numFmtId="0" fontId="3" fillId="14" borderId="37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164" fontId="3" fillId="0" borderId="21" xfId="0" applyNumberFormat="1" applyFont="1" applyBorder="1" applyAlignment="1" applyProtection="1">
      <alignment horizontal="left" vertical="center" wrapText="1"/>
      <protection locked="0"/>
    </xf>
    <xf numFmtId="164" fontId="3" fillId="0" borderId="22" xfId="0" applyNumberFormat="1" applyFont="1" applyBorder="1" applyAlignment="1" applyProtection="1">
      <alignment horizontal="left" vertical="center" wrapText="1"/>
      <protection locked="0"/>
    </xf>
    <xf numFmtId="164" fontId="3" fillId="0" borderId="24" xfId="0" applyNumberFormat="1" applyFont="1" applyBorder="1" applyAlignment="1" applyProtection="1">
      <alignment horizontal="left" vertical="center" wrapText="1"/>
      <protection locked="0"/>
    </xf>
    <xf numFmtId="14" fontId="3" fillId="14" borderId="1" xfId="0" applyNumberFormat="1" applyFont="1" applyFill="1" applyBorder="1" applyAlignment="1" applyProtection="1">
      <alignment horizontal="center" vertical="center"/>
      <protection locked="0"/>
    </xf>
    <xf numFmtId="14" fontId="3" fillId="14" borderId="2" xfId="0" applyNumberFormat="1" applyFont="1" applyFill="1" applyBorder="1" applyAlignment="1" applyProtection="1">
      <alignment horizontal="center" vertical="center"/>
      <protection locked="0"/>
    </xf>
    <xf numFmtId="14" fontId="3" fillId="14" borderId="14" xfId="0" applyNumberFormat="1" applyFont="1" applyFill="1" applyBorder="1" applyAlignment="1" applyProtection="1">
      <alignment horizontal="center" vertical="center"/>
      <protection locked="0"/>
    </xf>
    <xf numFmtId="164" fontId="33" fillId="5" borderId="21" xfId="0" applyNumberFormat="1" applyFont="1" applyFill="1" applyBorder="1" applyAlignment="1" applyProtection="1">
      <alignment horizontal="left" vertical="center" wrapText="1"/>
      <protection locked="0"/>
    </xf>
    <xf numFmtId="164" fontId="33" fillId="5" borderId="22" xfId="0" applyNumberFormat="1" applyFont="1" applyFill="1" applyBorder="1" applyAlignment="1" applyProtection="1">
      <alignment horizontal="left" vertical="center" wrapText="1"/>
      <protection locked="0"/>
    </xf>
    <xf numFmtId="164" fontId="33" fillId="5" borderId="24" xfId="0" applyNumberFormat="1" applyFont="1" applyFill="1" applyBorder="1" applyAlignment="1" applyProtection="1">
      <alignment horizontal="left" vertical="center" wrapText="1"/>
      <protection locked="0"/>
    </xf>
    <xf numFmtId="0" fontId="3" fillId="14" borderId="33" xfId="0" applyFont="1" applyFill="1" applyBorder="1" applyAlignment="1">
      <alignment horizontal="center" vertical="center" wrapText="1"/>
    </xf>
    <xf numFmtId="0" fontId="3" fillId="14" borderId="32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22" fontId="8" fillId="2" borderId="17" xfId="0" applyNumberFormat="1" applyFont="1" applyFill="1" applyBorder="1" applyAlignment="1">
      <alignment horizontal="center" vertical="center"/>
    </xf>
    <xf numFmtId="22" fontId="7" fillId="2" borderId="17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0" fontId="3" fillId="15" borderId="39" xfId="0" applyFont="1" applyFill="1" applyBorder="1" applyAlignment="1" applyProtection="1">
      <alignment horizontal="center" vertical="center"/>
      <protection locked="0"/>
    </xf>
    <xf numFmtId="0" fontId="3" fillId="15" borderId="0" xfId="0" applyFont="1" applyFill="1" applyAlignment="1" applyProtection="1">
      <alignment horizontal="center" vertical="center"/>
      <protection locked="0"/>
    </xf>
    <xf numFmtId="0" fontId="32" fillId="13" borderId="39" xfId="0" applyFont="1" applyFill="1" applyBorder="1" applyAlignment="1" applyProtection="1">
      <alignment horizontal="left" vertical="center" wrapText="1"/>
      <protection locked="0"/>
    </xf>
    <xf numFmtId="0" fontId="32" fillId="13" borderId="0" xfId="0" applyFont="1" applyFill="1" applyAlignment="1" applyProtection="1">
      <alignment horizontal="left" vertical="center" wrapText="1"/>
      <protection locked="0"/>
    </xf>
    <xf numFmtId="0" fontId="32" fillId="13" borderId="35" xfId="0" applyFont="1" applyFill="1" applyBorder="1" applyAlignment="1" applyProtection="1">
      <alignment horizontal="left" vertical="center" wrapText="1"/>
      <protection locked="0"/>
    </xf>
    <xf numFmtId="0" fontId="3" fillId="16" borderId="38" xfId="0" applyFont="1" applyFill="1" applyBorder="1" applyAlignment="1" applyProtection="1">
      <alignment horizontal="center" vertical="center"/>
      <protection locked="0"/>
    </xf>
    <xf numFmtId="0" fontId="3" fillId="16" borderId="18" xfId="0" applyFont="1" applyFill="1" applyBorder="1" applyAlignment="1" applyProtection="1">
      <alignment horizontal="center" vertical="center"/>
      <protection locked="0"/>
    </xf>
    <xf numFmtId="0" fontId="3" fillId="16" borderId="1" xfId="0" applyFont="1" applyFill="1" applyBorder="1" applyAlignment="1" applyProtection="1">
      <alignment horizontal="center" vertical="center"/>
      <protection locked="0"/>
    </xf>
    <xf numFmtId="0" fontId="3" fillId="16" borderId="14" xfId="0" applyFont="1" applyFill="1" applyBorder="1" applyAlignment="1" applyProtection="1">
      <alignment horizontal="center" vertical="center"/>
      <protection locked="0"/>
    </xf>
    <xf numFmtId="0" fontId="32" fillId="16" borderId="21" xfId="0" applyFont="1" applyFill="1" applyBorder="1" applyAlignment="1" applyProtection="1">
      <alignment horizontal="left" vertical="center" wrapText="1"/>
      <protection locked="0"/>
    </xf>
    <xf numFmtId="0" fontId="32" fillId="16" borderId="22" xfId="0" applyFont="1" applyFill="1" applyBorder="1" applyAlignment="1" applyProtection="1">
      <alignment horizontal="left" vertical="center" wrapText="1"/>
      <protection locked="0"/>
    </xf>
    <xf numFmtId="0" fontId="32" fillId="16" borderId="24" xfId="0" applyFont="1" applyFill="1" applyBorder="1" applyAlignment="1" applyProtection="1">
      <alignment horizontal="left" vertical="center" wrapText="1"/>
      <protection locked="0"/>
    </xf>
    <xf numFmtId="0" fontId="32" fillId="15" borderId="21" xfId="0" applyFont="1" applyFill="1" applyBorder="1" applyAlignment="1" applyProtection="1">
      <alignment vertical="center" wrapText="1"/>
      <protection locked="0"/>
    </xf>
    <xf numFmtId="0" fontId="32" fillId="15" borderId="22" xfId="0" applyFont="1" applyFill="1" applyBorder="1" applyAlignment="1" applyProtection="1">
      <alignment vertical="center" wrapText="1"/>
      <protection locked="0"/>
    </xf>
    <xf numFmtId="0" fontId="32" fillId="15" borderId="24" xfId="0" applyFont="1" applyFill="1" applyBorder="1" applyAlignment="1" applyProtection="1">
      <alignment vertical="center" wrapText="1"/>
      <protection locked="0"/>
    </xf>
    <xf numFmtId="0" fontId="32" fillId="16" borderId="42" xfId="0" applyFont="1" applyFill="1" applyBorder="1" applyAlignment="1" applyProtection="1">
      <alignment horizontal="left" vertical="center" wrapText="1"/>
      <protection locked="0"/>
    </xf>
    <xf numFmtId="0" fontId="32" fillId="16" borderId="49" xfId="0" applyFont="1" applyFill="1" applyBorder="1" applyAlignment="1" applyProtection="1">
      <alignment horizontal="left" vertical="center" wrapText="1"/>
      <protection locked="0"/>
    </xf>
    <xf numFmtId="0" fontId="32" fillId="16" borderId="43" xfId="0" applyFont="1" applyFill="1" applyBorder="1" applyAlignment="1" applyProtection="1">
      <alignment horizontal="left" vertical="center" wrapText="1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6" borderId="14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3" fillId="7" borderId="14" xfId="0" applyFont="1" applyFill="1" applyBorder="1" applyAlignment="1" applyProtection="1">
      <alignment horizontal="center" vertical="center"/>
      <protection locked="0"/>
    </xf>
    <xf numFmtId="0" fontId="32" fillId="15" borderId="39" xfId="0" applyFont="1" applyFill="1" applyBorder="1" applyAlignment="1" applyProtection="1">
      <alignment horizontal="left" vertical="center" wrapText="1"/>
      <protection locked="0"/>
    </xf>
    <xf numFmtId="0" fontId="3" fillId="15" borderId="0" xfId="0" applyFont="1" applyFill="1" applyAlignment="1" applyProtection="1">
      <alignment horizontal="left" vertical="center" wrapText="1"/>
      <protection locked="0"/>
    </xf>
    <xf numFmtId="0" fontId="3" fillId="15" borderId="35" xfId="0" applyFont="1" applyFill="1" applyBorder="1" applyAlignment="1" applyProtection="1">
      <alignment horizontal="left" vertical="center" wrapText="1"/>
      <protection locked="0"/>
    </xf>
    <xf numFmtId="0" fontId="3" fillId="15" borderId="1" xfId="0" applyFont="1" applyFill="1" applyBorder="1" applyAlignment="1" applyProtection="1">
      <alignment horizontal="center" vertical="center"/>
      <protection locked="0"/>
    </xf>
    <xf numFmtId="0" fontId="3" fillId="15" borderId="2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left" vertical="center" wrapText="1"/>
      <protection locked="0"/>
    </xf>
    <xf numFmtId="0" fontId="3" fillId="7" borderId="2" xfId="0" applyFont="1" applyFill="1" applyBorder="1" applyAlignment="1" applyProtection="1">
      <alignment horizontal="left" vertical="center" wrapText="1"/>
      <protection locked="0"/>
    </xf>
    <xf numFmtId="0" fontId="3" fillId="7" borderId="14" xfId="0" applyFont="1" applyFill="1" applyBorder="1" applyAlignment="1" applyProtection="1">
      <alignment horizontal="left" vertical="center" wrapText="1"/>
      <protection locked="0"/>
    </xf>
    <xf numFmtId="0" fontId="35" fillId="14" borderId="21" xfId="0" applyFont="1" applyFill="1" applyBorder="1" applyAlignment="1">
      <alignment horizontal="center" vertical="center"/>
    </xf>
    <xf numFmtId="0" fontId="35" fillId="14" borderId="23" xfId="0" applyFont="1" applyFill="1" applyBorder="1" applyAlignment="1">
      <alignment horizontal="center" vertical="center"/>
    </xf>
    <xf numFmtId="0" fontId="35" fillId="14" borderId="22" xfId="0" applyFont="1" applyFill="1" applyBorder="1" applyAlignment="1">
      <alignment horizontal="center" vertical="center"/>
    </xf>
    <xf numFmtId="0" fontId="37" fillId="0" borderId="19" xfId="0" applyFont="1" applyBorder="1" applyAlignment="1" applyProtection="1">
      <alignment horizontal="center" vertical="center" wrapText="1"/>
      <protection locked="0"/>
    </xf>
    <xf numFmtId="0" fontId="37" fillId="0" borderId="7" xfId="0" applyFont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3" fillId="3" borderId="46" xfId="0" applyFont="1" applyFill="1" applyBorder="1" applyAlignment="1" applyProtection="1">
      <alignment horizontal="center" vertical="center" wrapText="1"/>
      <protection locked="0"/>
    </xf>
    <xf numFmtId="0" fontId="3" fillId="3" borderId="47" xfId="0" applyFont="1" applyFill="1" applyBorder="1" applyAlignment="1" applyProtection="1">
      <alignment horizontal="center" vertical="center" wrapText="1"/>
      <protection locked="0"/>
    </xf>
    <xf numFmtId="0" fontId="3" fillId="3" borderId="48" xfId="0" applyFont="1" applyFill="1" applyBorder="1" applyAlignment="1" applyProtection="1">
      <alignment horizontal="center" vertical="center" wrapText="1"/>
      <protection locked="0"/>
    </xf>
    <xf numFmtId="0" fontId="3" fillId="10" borderId="1" xfId="0" applyFont="1" applyFill="1" applyBorder="1" applyAlignment="1" applyProtection="1">
      <alignment horizontal="center" vertical="center"/>
      <protection locked="0"/>
    </xf>
    <xf numFmtId="0" fontId="3" fillId="10" borderId="14" xfId="0" applyFont="1" applyFill="1" applyBorder="1" applyAlignment="1" applyProtection="1">
      <alignment horizontal="center" vertical="center"/>
      <protection locked="0"/>
    </xf>
    <xf numFmtId="0" fontId="32" fillId="5" borderId="21" xfId="0" applyFont="1" applyFill="1" applyBorder="1" applyAlignment="1" applyProtection="1">
      <alignment horizontal="center" vertical="center" wrapText="1"/>
      <protection locked="0"/>
    </xf>
    <xf numFmtId="0" fontId="32" fillId="5" borderId="22" xfId="0" applyFont="1" applyFill="1" applyBorder="1" applyAlignment="1" applyProtection="1">
      <alignment horizontal="center" vertical="center" wrapText="1"/>
      <protection locked="0"/>
    </xf>
    <xf numFmtId="0" fontId="32" fillId="5" borderId="24" xfId="0" applyFont="1" applyFill="1" applyBorder="1" applyAlignment="1" applyProtection="1">
      <alignment horizontal="center" vertical="center" wrapText="1"/>
      <protection locked="0"/>
    </xf>
    <xf numFmtId="0" fontId="3" fillId="5" borderId="21" xfId="0" applyFont="1" applyFill="1" applyBorder="1" applyAlignment="1" applyProtection="1">
      <alignment horizontal="center" vertical="center" wrapText="1"/>
      <protection locked="0"/>
    </xf>
    <xf numFmtId="0" fontId="3" fillId="5" borderId="22" xfId="0" applyFont="1" applyFill="1" applyBorder="1" applyAlignment="1" applyProtection="1">
      <alignment horizontal="center" vertical="center" wrapText="1"/>
      <protection locked="0"/>
    </xf>
    <xf numFmtId="0" fontId="3" fillId="5" borderId="24" xfId="0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32" fillId="0" borderId="20" xfId="0" applyFont="1" applyBorder="1" applyAlignment="1" applyProtection="1">
      <alignment horizontal="center" vertical="center" wrapText="1"/>
      <protection locked="0"/>
    </xf>
    <xf numFmtId="0" fontId="32" fillId="0" borderId="10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12" borderId="4" xfId="0" applyFont="1" applyFill="1" applyBorder="1" applyAlignment="1">
      <alignment horizontal="center" vertical="center"/>
    </xf>
    <xf numFmtId="0" fontId="35" fillId="12" borderId="13" xfId="0" applyFont="1" applyFill="1" applyBorder="1" applyAlignment="1">
      <alignment horizontal="center" vertical="center"/>
    </xf>
    <xf numFmtId="0" fontId="35" fillId="12" borderId="5" xfId="0" applyFont="1" applyFill="1" applyBorder="1" applyAlignment="1">
      <alignment horizontal="center" vertical="center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164" fontId="32" fillId="2" borderId="40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41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52" xfId="0" applyNumberFormat="1" applyFont="1" applyFill="1" applyBorder="1" applyAlignment="1" applyProtection="1">
      <alignment horizontal="center" vertical="center" wrapText="1"/>
      <protection locked="0"/>
    </xf>
    <xf numFmtId="164" fontId="28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28" fillId="2" borderId="22" xfId="0" applyNumberFormat="1" applyFont="1" applyFill="1" applyBorder="1" applyAlignment="1" applyProtection="1">
      <alignment horizontal="center" vertical="center" wrapText="1"/>
      <protection locked="0"/>
    </xf>
    <xf numFmtId="164" fontId="28" fillId="2" borderId="23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2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27" xfId="0" applyFont="1" applyBorder="1" applyAlignment="1" applyProtection="1">
      <alignment horizontal="center" vertical="center" wrapText="1"/>
      <protection locked="0"/>
    </xf>
    <xf numFmtId="0" fontId="32" fillId="0" borderId="9" xfId="0" applyFont="1" applyBorder="1" applyAlignment="1" applyProtection="1">
      <alignment horizontal="center" vertical="center" wrapText="1"/>
      <protection locked="0"/>
    </xf>
    <xf numFmtId="0" fontId="32" fillId="5" borderId="1" xfId="0" applyFont="1" applyFill="1" applyBorder="1" applyAlignment="1" applyProtection="1">
      <alignment horizontal="center" vertical="center" wrapText="1"/>
      <protection locked="0"/>
    </xf>
    <xf numFmtId="0" fontId="32" fillId="5" borderId="2" xfId="0" applyFont="1" applyFill="1" applyBorder="1" applyAlignment="1" applyProtection="1">
      <alignment horizontal="center" vertical="center" wrapText="1"/>
      <protection locked="0"/>
    </xf>
    <xf numFmtId="164" fontId="32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32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32" fillId="2" borderId="52" xfId="0" applyNumberFormat="1" applyFont="1" applyFill="1" applyBorder="1" applyAlignment="1" applyProtection="1">
      <alignment horizontal="left" vertical="center" wrapText="1"/>
      <protection locked="0"/>
    </xf>
    <xf numFmtId="164" fontId="32" fillId="5" borderId="40" xfId="0" applyNumberFormat="1" applyFont="1" applyFill="1" applyBorder="1" applyAlignment="1" applyProtection="1">
      <alignment horizontal="left" wrapText="1"/>
      <protection locked="0"/>
    </xf>
    <xf numFmtId="164" fontId="32" fillId="5" borderId="41" xfId="0" applyNumberFormat="1" applyFont="1" applyFill="1" applyBorder="1" applyAlignment="1" applyProtection="1">
      <alignment horizontal="left" wrapText="1"/>
      <protection locked="0"/>
    </xf>
    <xf numFmtId="164" fontId="32" fillId="5" borderId="52" xfId="0" applyNumberFormat="1" applyFont="1" applyFill="1" applyBorder="1" applyAlignment="1" applyProtection="1">
      <alignment horizontal="left" wrapText="1"/>
      <protection locked="0"/>
    </xf>
    <xf numFmtId="0" fontId="32" fillId="0" borderId="1" xfId="0" applyFont="1" applyBorder="1" applyAlignment="1" applyProtection="1">
      <alignment horizontal="center" vertical="center"/>
      <protection locked="0"/>
    </xf>
    <xf numFmtId="0" fontId="32" fillId="0" borderId="14" xfId="0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2"/>
  <sheetViews>
    <sheetView tabSelected="1" topLeftCell="A3" zoomScale="66" zoomScaleNormal="66" workbookViewId="0">
      <selection activeCell="A12" sqref="A12:C12"/>
    </sheetView>
  </sheetViews>
  <sheetFormatPr baseColWidth="10" defaultColWidth="10.75" defaultRowHeight="13.5" x14ac:dyDescent="0.15"/>
  <cols>
    <col min="1" max="1" width="12.5" style="1" customWidth="1"/>
    <col min="2" max="2" width="19.375" style="1" customWidth="1"/>
    <col min="3" max="3" width="16" style="1" customWidth="1"/>
    <col min="4" max="4" width="13.75" style="1" customWidth="1"/>
    <col min="5" max="5" width="15" style="1" customWidth="1"/>
    <col min="6" max="6" width="16.125" style="1" customWidth="1"/>
    <col min="7" max="7" width="15.75" style="1" customWidth="1"/>
    <col min="8" max="8" width="12.75" style="1" customWidth="1"/>
    <col min="9" max="9" width="42.625" style="1" customWidth="1"/>
    <col min="10" max="10" width="76" style="1" customWidth="1"/>
    <col min="11" max="11" width="24.125" style="1" customWidth="1"/>
    <col min="12" max="12" width="12.875" style="1" customWidth="1"/>
    <col min="13" max="13" width="12.5" style="1" customWidth="1"/>
    <col min="14" max="14" width="19.1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1.75" hidden="1" customHeight="1" thickBot="1" x14ac:dyDescent="0.2">
      <c r="A1" s="149" t="s">
        <v>0</v>
      </c>
      <c r="B1" s="150"/>
      <c r="C1" s="150"/>
      <c r="D1" s="150"/>
      <c r="E1" s="150"/>
      <c r="F1" s="150"/>
      <c r="G1" s="150"/>
      <c r="H1" s="150"/>
      <c r="I1" s="150"/>
      <c r="J1" s="151"/>
      <c r="K1" s="137" t="s">
        <v>1</v>
      </c>
      <c r="L1" s="53"/>
      <c r="M1" s="53"/>
    </row>
    <row r="2" spans="1:21" ht="3" hidden="1" customHeight="1" x14ac:dyDescent="0.15">
      <c r="A2" s="105"/>
      <c r="B2" s="106"/>
      <c r="C2" s="106"/>
      <c r="D2" s="106"/>
      <c r="E2" s="106"/>
      <c r="F2" s="106"/>
      <c r="G2" s="106"/>
      <c r="H2" s="106"/>
      <c r="I2" s="106"/>
      <c r="J2" s="107"/>
      <c r="K2" s="138"/>
      <c r="L2" s="14"/>
    </row>
    <row r="3" spans="1:21" ht="48.75" customHeight="1" thickBot="1" x14ac:dyDescent="0.2">
      <c r="A3" s="157"/>
      <c r="B3" s="158"/>
      <c r="C3" s="158"/>
      <c r="D3" s="158"/>
      <c r="E3" s="158"/>
      <c r="F3" s="158"/>
      <c r="G3" s="158"/>
      <c r="H3" s="158"/>
      <c r="I3" s="111" t="s">
        <v>36</v>
      </c>
      <c r="J3" s="110"/>
      <c r="K3" s="108"/>
      <c r="L3" s="14"/>
    </row>
    <row r="4" spans="1:21" ht="36.75" customHeight="1" thickBot="1" x14ac:dyDescent="0.2">
      <c r="A4" s="109" t="s">
        <v>2</v>
      </c>
      <c r="B4" s="164">
        <v>46175</v>
      </c>
      <c r="C4" s="165"/>
      <c r="D4" s="166"/>
      <c r="E4" s="152" t="s">
        <v>38</v>
      </c>
      <c r="F4" s="152"/>
      <c r="G4" s="152"/>
      <c r="H4" s="152"/>
      <c r="I4" s="153"/>
      <c r="J4" s="154"/>
      <c r="K4" s="43"/>
      <c r="L4" s="15"/>
    </row>
    <row r="5" spans="1:21" ht="12.75" customHeight="1" thickBot="1" x14ac:dyDescent="0.2">
      <c r="A5" s="32"/>
      <c r="B5" s="33"/>
      <c r="C5" s="33"/>
      <c r="D5" s="33"/>
      <c r="E5" s="33"/>
      <c r="F5" s="33"/>
      <c r="G5" s="33"/>
      <c r="H5" s="33"/>
      <c r="I5" s="33"/>
      <c r="J5" s="33"/>
      <c r="K5" s="16"/>
      <c r="L5" s="16"/>
    </row>
    <row r="6" spans="1:21" ht="20.25" thickBot="1" x14ac:dyDescent="0.2">
      <c r="A6" s="139" t="s">
        <v>3</v>
      </c>
      <c r="B6" s="139" t="s">
        <v>4</v>
      </c>
      <c r="C6" s="140"/>
      <c r="D6" s="155" t="s">
        <v>5</v>
      </c>
      <c r="E6" s="155"/>
      <c r="F6" s="170" t="s">
        <v>6</v>
      </c>
      <c r="G6" s="144" t="s">
        <v>7</v>
      </c>
      <c r="H6" s="143" t="s">
        <v>8</v>
      </c>
      <c r="I6" s="144"/>
      <c r="J6" s="145"/>
      <c r="K6" s="17"/>
      <c r="M6" s="18"/>
    </row>
    <row r="7" spans="1:21" ht="20.25" thickBot="1" x14ac:dyDescent="0.2">
      <c r="A7" s="156"/>
      <c r="B7" s="141"/>
      <c r="C7" s="142"/>
      <c r="D7" s="57" t="s">
        <v>9</v>
      </c>
      <c r="E7" s="58" t="s">
        <v>10</v>
      </c>
      <c r="F7" s="171"/>
      <c r="G7" s="147"/>
      <c r="H7" s="146"/>
      <c r="I7" s="147"/>
      <c r="J7" s="148"/>
      <c r="K7" s="17"/>
    </row>
    <row r="8" spans="1:21" ht="26.25" customHeight="1" thickBot="1" x14ac:dyDescent="0.2">
      <c r="A8" s="54" t="s">
        <v>11</v>
      </c>
      <c r="B8" s="159"/>
      <c r="C8" s="160"/>
      <c r="D8" s="60"/>
      <c r="E8" s="61"/>
      <c r="F8" s="136"/>
      <c r="G8" s="136"/>
      <c r="H8" s="161"/>
      <c r="I8" s="162"/>
      <c r="J8" s="163"/>
      <c r="K8" s="19"/>
    </row>
    <row r="9" spans="1:21" ht="27.75" customHeight="1" thickBot="1" x14ac:dyDescent="0.2">
      <c r="A9" s="55" t="s">
        <v>12</v>
      </c>
      <c r="B9" s="159" t="s">
        <v>37</v>
      </c>
      <c r="C9" s="160"/>
      <c r="D9" s="60">
        <v>128</v>
      </c>
      <c r="E9" s="61">
        <v>0</v>
      </c>
      <c r="F9" s="136">
        <v>0.97430555555555554</v>
      </c>
      <c r="G9" s="136">
        <v>0.27083333333333331</v>
      </c>
      <c r="H9" s="167" t="s">
        <v>41</v>
      </c>
      <c r="I9" s="168"/>
      <c r="J9" s="169"/>
      <c r="K9" s="19"/>
      <c r="N9" s="20"/>
      <c r="O9" s="49"/>
      <c r="P9" s="49"/>
      <c r="Q9" s="49"/>
      <c r="R9" s="49"/>
      <c r="S9" s="49"/>
      <c r="T9" s="49"/>
      <c r="U9" s="49"/>
    </row>
    <row r="10" spans="1:21" ht="27" customHeight="1" thickBot="1" x14ac:dyDescent="0.2">
      <c r="A10" s="55" t="s">
        <v>13</v>
      </c>
      <c r="B10" s="159" t="s">
        <v>37</v>
      </c>
      <c r="C10" s="160"/>
      <c r="D10" s="62">
        <v>156</v>
      </c>
      <c r="E10" s="61">
        <v>0</v>
      </c>
      <c r="F10" s="136">
        <v>0.96875</v>
      </c>
      <c r="G10" s="136">
        <v>0.27083333333333331</v>
      </c>
      <c r="H10" s="167" t="s">
        <v>42</v>
      </c>
      <c r="I10" s="168"/>
      <c r="J10" s="169"/>
      <c r="K10" s="19"/>
      <c r="L10" s="21"/>
      <c r="M10" s="52"/>
      <c r="N10" s="52"/>
      <c r="O10" s="49"/>
      <c r="P10" s="49"/>
      <c r="Q10" s="49"/>
      <c r="R10" s="49"/>
      <c r="S10" s="49"/>
      <c r="T10" s="49"/>
      <c r="U10" s="49"/>
    </row>
    <row r="11" spans="1:21" ht="27.75" customHeight="1" thickBot="1" x14ac:dyDescent="0.2">
      <c r="A11" s="56" t="s">
        <v>14</v>
      </c>
      <c r="B11" s="159" t="s">
        <v>47</v>
      </c>
      <c r="C11" s="160"/>
      <c r="D11" s="62"/>
      <c r="E11" s="61">
        <v>50</v>
      </c>
      <c r="F11" s="136">
        <v>0.97083333333333333</v>
      </c>
      <c r="G11" s="136">
        <v>0.19791666666666666</v>
      </c>
      <c r="H11" s="167" t="s">
        <v>46</v>
      </c>
      <c r="I11" s="168"/>
      <c r="J11" s="169"/>
      <c r="K11" s="51"/>
      <c r="L11" s="21"/>
      <c r="M11" s="52"/>
      <c r="N11" s="52"/>
      <c r="O11" s="49"/>
      <c r="P11" s="49"/>
      <c r="Q11" s="49"/>
      <c r="R11" s="49"/>
      <c r="S11" s="49"/>
      <c r="T11" s="49"/>
      <c r="U11" s="49"/>
    </row>
    <row r="12" spans="1:21" ht="13.5" customHeight="1" x14ac:dyDescent="0.15">
      <c r="A12" s="172"/>
      <c r="B12" s="172"/>
      <c r="C12" s="172"/>
      <c r="D12" s="173"/>
      <c r="E12" s="173"/>
      <c r="F12" s="2"/>
      <c r="G12" s="174"/>
      <c r="H12" s="174"/>
      <c r="I12" s="175"/>
      <c r="J12" s="175"/>
      <c r="K12" s="51"/>
      <c r="L12" s="22"/>
      <c r="O12" s="49"/>
      <c r="P12" s="49"/>
      <c r="Q12" s="49"/>
      <c r="R12" s="49"/>
      <c r="S12" s="49"/>
      <c r="T12" s="49"/>
      <c r="U12" s="49"/>
    </row>
    <row r="13" spans="1:21" ht="15" customHeight="1" thickBot="1" x14ac:dyDescent="0.2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1"/>
      <c r="L13" s="23"/>
    </row>
    <row r="14" spans="1:21" ht="13.5" hidden="1" customHeight="1" x14ac:dyDescent="0.1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23"/>
    </row>
    <row r="15" spans="1:21" ht="31.5" customHeight="1" thickBot="1" x14ac:dyDescent="0.2">
      <c r="A15" s="176" t="s">
        <v>15</v>
      </c>
      <c r="B15" s="177"/>
      <c r="C15" s="59" t="s">
        <v>11</v>
      </c>
      <c r="D15" s="63" t="s">
        <v>12</v>
      </c>
      <c r="E15" s="59" t="s">
        <v>13</v>
      </c>
      <c r="F15" s="64" t="s">
        <v>14</v>
      </c>
      <c r="G15" s="178" t="s">
        <v>8</v>
      </c>
      <c r="H15" s="179"/>
      <c r="I15" s="179"/>
      <c r="J15" s="180"/>
      <c r="K15" s="9"/>
      <c r="M15" s="21"/>
      <c r="N15" s="24">
        <f>G8-F8+IF(F8&gt;G8,1)</f>
        <v>0</v>
      </c>
      <c r="O15" s="24">
        <f>G9-F9+IF(F9&gt;G9,1)</f>
        <v>0.29652777777777772</v>
      </c>
      <c r="P15" s="24">
        <f>G10-F10+IF(F10&gt;G10,1)</f>
        <v>0.30208333333333326</v>
      </c>
    </row>
    <row r="16" spans="1:21" ht="34.5" customHeight="1" thickBot="1" x14ac:dyDescent="0.2">
      <c r="A16" s="199" t="s">
        <v>9</v>
      </c>
      <c r="B16" s="200"/>
      <c r="C16" s="65">
        <f>D8</f>
        <v>0</v>
      </c>
      <c r="D16" s="66">
        <f>D9</f>
        <v>128</v>
      </c>
      <c r="E16" s="67">
        <f>D10</f>
        <v>156</v>
      </c>
      <c r="F16" s="68">
        <f>D11</f>
        <v>0</v>
      </c>
      <c r="G16" s="183" t="s">
        <v>45</v>
      </c>
      <c r="H16" s="184"/>
      <c r="I16" s="184"/>
      <c r="J16" s="185"/>
      <c r="K16" s="44"/>
      <c r="L16" s="1" t="s">
        <v>16</v>
      </c>
      <c r="P16" s="24">
        <f>G11-F11+IF(F11&gt;G11,1)</f>
        <v>0.2270833333333333</v>
      </c>
    </row>
    <row r="17" spans="1:16" ht="31.5" customHeight="1" thickBot="1" x14ac:dyDescent="0.2">
      <c r="A17" s="201" t="s">
        <v>10</v>
      </c>
      <c r="B17" s="202"/>
      <c r="C17" s="69">
        <f>E8</f>
        <v>0</v>
      </c>
      <c r="D17" s="70">
        <f>E9</f>
        <v>0</v>
      </c>
      <c r="E17" s="71">
        <f>E10</f>
        <v>0</v>
      </c>
      <c r="F17" s="72">
        <f>E11</f>
        <v>50</v>
      </c>
      <c r="G17" s="208" t="s">
        <v>44</v>
      </c>
      <c r="H17" s="209"/>
      <c r="I17" s="209"/>
      <c r="J17" s="210"/>
      <c r="K17" s="37"/>
    </row>
    <row r="18" spans="1:16" ht="21" customHeight="1" thickBot="1" x14ac:dyDescent="0.2">
      <c r="A18" s="206" t="s">
        <v>17</v>
      </c>
      <c r="B18" s="207"/>
      <c r="C18" s="113">
        <v>0</v>
      </c>
      <c r="D18" s="114">
        <v>0</v>
      </c>
      <c r="E18" s="113">
        <v>0</v>
      </c>
      <c r="F18" s="114">
        <v>0</v>
      </c>
      <c r="G18" s="203"/>
      <c r="H18" s="204"/>
      <c r="I18" s="204"/>
      <c r="J18" s="205"/>
      <c r="K18" s="25"/>
    </row>
    <row r="19" spans="1:16" ht="20.25" thickBot="1" x14ac:dyDescent="0.2">
      <c r="A19" s="181" t="s">
        <v>18</v>
      </c>
      <c r="B19" s="182"/>
      <c r="C19" s="115">
        <v>0</v>
      </c>
      <c r="D19" s="116">
        <v>0</v>
      </c>
      <c r="E19" s="115">
        <v>0</v>
      </c>
      <c r="F19" s="116">
        <v>0</v>
      </c>
      <c r="G19" s="193"/>
      <c r="H19" s="194"/>
      <c r="I19" s="194"/>
      <c r="J19" s="195"/>
      <c r="P19" s="1" t="s">
        <v>19</v>
      </c>
    </row>
    <row r="20" spans="1:16" ht="20.25" thickBot="1" x14ac:dyDescent="0.2">
      <c r="A20" s="186" t="s">
        <v>20</v>
      </c>
      <c r="B20" s="187"/>
      <c r="C20" s="117">
        <v>0</v>
      </c>
      <c r="D20" s="117">
        <v>3</v>
      </c>
      <c r="E20" s="117">
        <v>3</v>
      </c>
      <c r="F20" s="117" t="s">
        <v>40</v>
      </c>
      <c r="G20" s="196"/>
      <c r="H20" s="197"/>
      <c r="I20" s="197"/>
      <c r="J20" s="198"/>
      <c r="K20" s="47"/>
    </row>
    <row r="21" spans="1:16" ht="20.25" thickBot="1" x14ac:dyDescent="0.2">
      <c r="A21" s="188" t="s">
        <v>21</v>
      </c>
      <c r="B21" s="189"/>
      <c r="C21" s="118">
        <v>0</v>
      </c>
      <c r="D21" s="118">
        <v>0</v>
      </c>
      <c r="E21" s="118">
        <v>0</v>
      </c>
      <c r="F21" s="118" t="s">
        <v>40</v>
      </c>
      <c r="G21" s="190"/>
      <c r="H21" s="191"/>
      <c r="I21" s="191"/>
      <c r="J21" s="192"/>
      <c r="K21" s="26"/>
    </row>
    <row r="22" spans="1:16" ht="20.25" thickBot="1" x14ac:dyDescent="0.2">
      <c r="A22" s="216" t="s">
        <v>22</v>
      </c>
      <c r="B22" s="217"/>
      <c r="C22" s="73">
        <f>SUM(C16:C21)</f>
        <v>0</v>
      </c>
      <c r="D22" s="74">
        <f t="shared" ref="D22:E22" si="0">SUM(D16:D21)</f>
        <v>131</v>
      </c>
      <c r="E22" s="73">
        <f t="shared" si="0"/>
        <v>159</v>
      </c>
      <c r="F22" s="75">
        <f>SUM(F16:F21)</f>
        <v>50</v>
      </c>
      <c r="G22" s="218"/>
      <c r="H22" s="219"/>
      <c r="I22" s="219"/>
      <c r="J22" s="220"/>
    </row>
    <row r="23" spans="1:16" ht="20.25" thickBot="1" x14ac:dyDescent="0.2">
      <c r="A23" s="221" t="s">
        <v>23</v>
      </c>
      <c r="B23" s="222"/>
      <c r="C23" s="76">
        <f>HOUR(N15)+MINUTE(N15)/60</f>
        <v>0</v>
      </c>
      <c r="D23" s="77">
        <f>HOUR(O15)+MINUTE(O15)/60</f>
        <v>7.1166666666666663</v>
      </c>
      <c r="E23" s="76">
        <f>HOUR(P15)+MINUTE(P15)/60</f>
        <v>7.25</v>
      </c>
      <c r="F23" s="78">
        <f>HOUR(P16)+MINUTE(P16)/60</f>
        <v>5.45</v>
      </c>
      <c r="G23" s="226" t="s">
        <v>16</v>
      </c>
      <c r="H23" s="227"/>
      <c r="I23" s="227"/>
      <c r="J23" s="228"/>
      <c r="K23" s="27"/>
    </row>
    <row r="24" spans="1:16" ht="18.75" customHeight="1" thickBot="1" x14ac:dyDescent="0.2">
      <c r="A24" s="221" t="s">
        <v>24</v>
      </c>
      <c r="B24" s="222"/>
      <c r="C24" s="79" t="e">
        <f>C22/C23</f>
        <v>#DIV/0!</v>
      </c>
      <c r="D24" s="80">
        <f>D22/D23</f>
        <v>18.407494145199063</v>
      </c>
      <c r="E24" s="79">
        <f>E22/E23</f>
        <v>21.931034482758619</v>
      </c>
      <c r="F24" s="81">
        <f>+F22/F23</f>
        <v>9.1743119266055047</v>
      </c>
      <c r="G24" s="223"/>
      <c r="H24" s="224"/>
      <c r="I24" s="224"/>
      <c r="J24" s="225"/>
      <c r="K24" s="49"/>
      <c r="M24" s="49"/>
      <c r="P24" s="49"/>
    </row>
    <row r="25" spans="1:16" x14ac:dyDescent="0.15">
      <c r="A25" s="229"/>
      <c r="B25" s="229"/>
      <c r="C25" s="229"/>
      <c r="D25" s="229"/>
      <c r="E25" s="229"/>
      <c r="F25" s="229"/>
      <c r="G25" s="229"/>
      <c r="H25" s="229"/>
      <c r="I25" s="229"/>
      <c r="J25" s="229"/>
      <c r="K25" s="49"/>
      <c r="L25" s="28"/>
      <c r="M25" s="49"/>
      <c r="P25" s="49"/>
    </row>
    <row r="26" spans="1:16" ht="27" customHeight="1" thickBot="1" x14ac:dyDescent="0.2">
      <c r="A26" s="230"/>
      <c r="B26" s="230"/>
      <c r="C26" s="230"/>
      <c r="D26" s="230"/>
      <c r="E26" s="230"/>
      <c r="F26" s="230"/>
      <c r="G26" s="230"/>
      <c r="H26" s="230"/>
      <c r="I26" s="230"/>
      <c r="J26" s="230"/>
      <c r="K26" s="49"/>
      <c r="L26" s="29"/>
      <c r="M26" s="49"/>
      <c r="P26" s="49"/>
    </row>
    <row r="27" spans="1:16" ht="54" customHeight="1" thickBot="1" x14ac:dyDescent="0.2">
      <c r="A27" s="211" t="s">
        <v>25</v>
      </c>
      <c r="B27" s="212"/>
      <c r="C27" s="103" t="s">
        <v>26</v>
      </c>
      <c r="D27" s="104" t="s">
        <v>27</v>
      </c>
      <c r="E27" s="103" t="s">
        <v>28</v>
      </c>
      <c r="F27" s="211" t="s">
        <v>8</v>
      </c>
      <c r="G27" s="213"/>
      <c r="H27" s="213"/>
      <c r="I27" s="213"/>
      <c r="J27" s="212"/>
      <c r="K27" s="130" t="s">
        <v>33</v>
      </c>
      <c r="L27" s="125" t="s">
        <v>34</v>
      </c>
      <c r="M27" s="127" t="s">
        <v>35</v>
      </c>
      <c r="N27" s="21"/>
    </row>
    <row r="28" spans="1:16" ht="0.75" hidden="1" customHeight="1" x14ac:dyDescent="0.15">
      <c r="A28" s="214"/>
      <c r="B28" s="215"/>
      <c r="C28" s="82"/>
      <c r="D28" s="83"/>
      <c r="E28" s="84"/>
      <c r="F28" s="40"/>
      <c r="G28" s="34"/>
      <c r="H28" s="34"/>
      <c r="I28" s="34"/>
      <c r="J28" s="99"/>
      <c r="K28" s="129"/>
      <c r="L28" s="119" t="s">
        <v>34</v>
      </c>
      <c r="M28" s="126"/>
    </row>
    <row r="29" spans="1:16" ht="19.5" hidden="1" customHeight="1" x14ac:dyDescent="0.15">
      <c r="A29" s="231"/>
      <c r="B29" s="232"/>
      <c r="C29" s="85">
        <v>0</v>
      </c>
      <c r="D29" s="86">
        <v>0</v>
      </c>
      <c r="E29" s="87">
        <v>0</v>
      </c>
      <c r="F29" s="41"/>
      <c r="G29" s="3"/>
      <c r="H29" s="3"/>
      <c r="I29" s="30"/>
      <c r="J29" s="100"/>
      <c r="K29" s="120"/>
      <c r="L29" s="119" t="s">
        <v>34</v>
      </c>
      <c r="M29" s="112"/>
    </row>
    <row r="30" spans="1:16" ht="19.5" hidden="1" customHeight="1" x14ac:dyDescent="0.15">
      <c r="A30" s="231"/>
      <c r="B30" s="232"/>
      <c r="C30" s="85">
        <v>0</v>
      </c>
      <c r="D30" s="86">
        <v>0</v>
      </c>
      <c r="E30" s="87">
        <v>0</v>
      </c>
      <c r="F30" s="41"/>
      <c r="G30" s="3"/>
      <c r="H30" s="3"/>
      <c r="I30" s="30"/>
      <c r="J30" s="100"/>
      <c r="K30" s="120"/>
      <c r="L30" s="119" t="s">
        <v>34</v>
      </c>
      <c r="M30" s="112"/>
    </row>
    <row r="31" spans="1:16" ht="19.5" hidden="1" customHeight="1" x14ac:dyDescent="0.15">
      <c r="A31" s="231"/>
      <c r="B31" s="232"/>
      <c r="C31" s="85">
        <v>0</v>
      </c>
      <c r="D31" s="86">
        <v>0</v>
      </c>
      <c r="E31" s="87">
        <v>0</v>
      </c>
      <c r="F31" s="41"/>
      <c r="G31" s="3"/>
      <c r="H31" s="3"/>
      <c r="I31" s="30"/>
      <c r="J31" s="100"/>
      <c r="K31" s="120"/>
      <c r="L31" s="119" t="s">
        <v>34</v>
      </c>
      <c r="M31" s="112"/>
    </row>
    <row r="32" spans="1:16" ht="25.5" hidden="1" customHeight="1" x14ac:dyDescent="0.15">
      <c r="A32" s="231"/>
      <c r="B32" s="232"/>
      <c r="C32" s="85">
        <v>0</v>
      </c>
      <c r="D32" s="86">
        <v>0</v>
      </c>
      <c r="E32" s="87">
        <v>0</v>
      </c>
      <c r="F32" s="41"/>
      <c r="G32" s="3"/>
      <c r="H32" s="3"/>
      <c r="I32" s="30"/>
      <c r="J32" s="100"/>
      <c r="K32" s="120"/>
      <c r="L32" s="119" t="s">
        <v>34</v>
      </c>
      <c r="M32" s="112"/>
    </row>
    <row r="33" spans="1:15" ht="0.75" hidden="1" customHeight="1" x14ac:dyDescent="0.15">
      <c r="A33" s="231"/>
      <c r="B33" s="232"/>
      <c r="C33" s="85">
        <v>0</v>
      </c>
      <c r="D33" s="86">
        <v>0</v>
      </c>
      <c r="E33" s="87">
        <v>0</v>
      </c>
      <c r="F33" s="41"/>
      <c r="G33" s="3"/>
      <c r="H33" s="3"/>
      <c r="I33" s="3"/>
      <c r="J33" s="101"/>
      <c r="K33" s="120"/>
      <c r="L33" s="119" t="s">
        <v>34</v>
      </c>
      <c r="M33" s="112"/>
    </row>
    <row r="34" spans="1:15" ht="2.25" hidden="1" customHeight="1" thickBot="1" x14ac:dyDescent="0.2">
      <c r="A34" s="250"/>
      <c r="B34" s="251"/>
      <c r="C34" s="88">
        <v>0</v>
      </c>
      <c r="D34" s="89">
        <v>0</v>
      </c>
      <c r="E34" s="90">
        <v>0</v>
      </c>
      <c r="F34" s="42"/>
      <c r="G34" s="35"/>
      <c r="H34" s="35"/>
      <c r="I34" s="36"/>
      <c r="J34" s="102"/>
      <c r="K34" s="120"/>
      <c r="L34" s="123" t="s">
        <v>34</v>
      </c>
      <c r="M34" s="124"/>
    </row>
    <row r="35" spans="1:15" s="134" customFormat="1" ht="19.5" customHeight="1" thickBot="1" x14ac:dyDescent="0.3">
      <c r="A35" s="252" t="s">
        <v>39</v>
      </c>
      <c r="B35" s="253"/>
      <c r="C35" s="131">
        <v>0.95833333333333337</v>
      </c>
      <c r="D35" s="128">
        <v>4.1666666666666664E-2</v>
      </c>
      <c r="E35" s="135">
        <f>D35-C35+IF(C35&gt;D35,1)</f>
        <v>8.3333333333333259E-2</v>
      </c>
      <c r="F35" s="257" t="s">
        <v>43</v>
      </c>
      <c r="G35" s="258"/>
      <c r="H35" s="258"/>
      <c r="I35" s="258"/>
      <c r="J35" s="259"/>
      <c r="K35" s="132"/>
      <c r="L35" s="133"/>
      <c r="M35" s="133"/>
    </row>
    <row r="36" spans="1:15" ht="19.5" customHeight="1" thickBot="1" x14ac:dyDescent="0.2">
      <c r="A36" s="240"/>
      <c r="B36" s="241"/>
      <c r="C36" s="93">
        <v>0</v>
      </c>
      <c r="D36" s="128">
        <v>0</v>
      </c>
      <c r="E36" s="94">
        <f t="shared" ref="E36:E37" si="1">D36-C36+IF(C36&gt;D36,1)</f>
        <v>0</v>
      </c>
      <c r="F36" s="254"/>
      <c r="G36" s="255"/>
      <c r="H36" s="255"/>
      <c r="I36" s="255"/>
      <c r="J36" s="256"/>
      <c r="K36" s="121"/>
      <c r="L36" s="121"/>
      <c r="M36" s="121"/>
    </row>
    <row r="37" spans="1:15" ht="20.25" customHeight="1" thickBot="1" x14ac:dyDescent="0.2">
      <c r="A37" s="240"/>
      <c r="B37" s="241"/>
      <c r="C37" s="93">
        <v>0</v>
      </c>
      <c r="D37" s="128">
        <v>0</v>
      </c>
      <c r="E37" s="95">
        <f t="shared" si="1"/>
        <v>0</v>
      </c>
      <c r="F37" s="254"/>
      <c r="G37" s="255"/>
      <c r="H37" s="255"/>
      <c r="I37" s="255"/>
      <c r="J37" s="256"/>
      <c r="K37" s="121"/>
      <c r="L37" s="121"/>
      <c r="M37" s="121"/>
    </row>
    <row r="38" spans="1:15" ht="20.25" thickBot="1" x14ac:dyDescent="0.2">
      <c r="A38" s="260"/>
      <c r="B38" s="261"/>
      <c r="C38" s="96">
        <v>0</v>
      </c>
      <c r="D38" s="97">
        <v>0</v>
      </c>
      <c r="E38" s="92">
        <f>D38-C38+IF(C38&gt;D38,1)</f>
        <v>0</v>
      </c>
      <c r="F38" s="242"/>
      <c r="G38" s="243"/>
      <c r="H38" s="243"/>
      <c r="I38" s="243"/>
      <c r="J38" s="244"/>
      <c r="K38" s="121"/>
      <c r="L38" s="121"/>
      <c r="M38" s="121"/>
    </row>
    <row r="39" spans="1:15" ht="20.25" customHeight="1" thickBot="1" x14ac:dyDescent="0.2">
      <c r="A39" s="240"/>
      <c r="B39" s="241"/>
      <c r="C39" s="98">
        <v>0</v>
      </c>
      <c r="D39" s="91">
        <v>0</v>
      </c>
      <c r="E39" s="92">
        <f t="shared" ref="E39:E42" si="2">D39-C39+IF(C39&gt;D39,1)</f>
        <v>0</v>
      </c>
      <c r="F39" s="242"/>
      <c r="G39" s="243"/>
      <c r="H39" s="243"/>
      <c r="I39" s="243"/>
      <c r="J39" s="244"/>
      <c r="K39" s="121"/>
      <c r="L39" s="121"/>
      <c r="M39" s="121"/>
    </row>
    <row r="40" spans="1:15" ht="19.5" customHeight="1" thickBot="1" x14ac:dyDescent="0.2">
      <c r="A40" s="240"/>
      <c r="B40" s="241"/>
      <c r="C40" s="98">
        <v>0</v>
      </c>
      <c r="D40" s="91">
        <v>0</v>
      </c>
      <c r="E40" s="92">
        <f>D40-C40+IF(C40&gt;D40,1)</f>
        <v>0</v>
      </c>
      <c r="K40" s="121"/>
      <c r="L40" s="121"/>
      <c r="M40" s="121"/>
    </row>
    <row r="41" spans="1:15" ht="20.25" customHeight="1" thickBot="1" x14ac:dyDescent="0.2">
      <c r="A41" s="240"/>
      <c r="B41" s="241"/>
      <c r="C41" s="96">
        <v>0</v>
      </c>
      <c r="D41" s="97">
        <v>0</v>
      </c>
      <c r="E41" s="94">
        <f>D41-C41+IF(C41&gt;D41,1)</f>
        <v>0</v>
      </c>
      <c r="F41" s="242"/>
      <c r="G41" s="243"/>
      <c r="H41" s="243"/>
      <c r="I41" s="243"/>
      <c r="J41" s="244"/>
      <c r="K41" s="121"/>
      <c r="L41" s="121"/>
      <c r="M41" s="121"/>
    </row>
    <row r="42" spans="1:15" ht="20.25" thickBot="1" x14ac:dyDescent="0.2">
      <c r="A42" s="240"/>
      <c r="B42" s="241"/>
      <c r="C42" s="98">
        <v>0</v>
      </c>
      <c r="D42" s="91">
        <v>0</v>
      </c>
      <c r="E42" s="92">
        <f t="shared" si="2"/>
        <v>0</v>
      </c>
      <c r="F42" s="248"/>
      <c r="G42" s="249"/>
      <c r="H42" s="249"/>
      <c r="I42" s="249"/>
      <c r="J42" s="249"/>
      <c r="K42" s="121"/>
      <c r="L42" s="121"/>
      <c r="M42" s="121"/>
    </row>
    <row r="43" spans="1:15" ht="20.25" customHeight="1" thickBot="1" x14ac:dyDescent="0.2">
      <c r="A43" s="240"/>
      <c r="B43" s="241"/>
      <c r="C43" s="96">
        <v>0</v>
      </c>
      <c r="D43" s="97">
        <v>0</v>
      </c>
      <c r="E43" s="94">
        <f t="shared" ref="E43:E44" si="3">D43-C43+IF(C43&gt;D43,1)</f>
        <v>0</v>
      </c>
      <c r="F43" s="242" t="s">
        <v>31</v>
      </c>
      <c r="G43" s="243"/>
      <c r="H43" s="243"/>
      <c r="I43" s="243"/>
      <c r="J43" s="244"/>
      <c r="K43" s="121"/>
      <c r="L43" s="121"/>
      <c r="M43" s="121"/>
    </row>
    <row r="44" spans="1:15" ht="20.25" thickBot="1" x14ac:dyDescent="0.2">
      <c r="A44" s="240"/>
      <c r="B44" s="241"/>
      <c r="C44" s="98">
        <v>0</v>
      </c>
      <c r="D44" s="91">
        <v>0</v>
      </c>
      <c r="E44" s="92">
        <f t="shared" si="3"/>
        <v>0</v>
      </c>
      <c r="F44" s="245"/>
      <c r="G44" s="246"/>
      <c r="H44" s="246"/>
      <c r="I44" s="246"/>
      <c r="J44" s="247"/>
      <c r="K44" s="122"/>
      <c r="L44" s="122"/>
      <c r="M44" s="122"/>
    </row>
    <row r="45" spans="1:15" ht="20.100000000000001" customHeight="1" x14ac:dyDescent="0.15">
      <c r="A45" s="4"/>
      <c r="B45" s="4"/>
      <c r="C45" s="5"/>
      <c r="D45" s="5"/>
      <c r="E45" s="6"/>
      <c r="F45" s="38"/>
      <c r="G45" s="39"/>
      <c r="H45" s="39"/>
      <c r="I45" s="39"/>
      <c r="J45" s="39"/>
      <c r="K45" s="49"/>
      <c r="L45" s="49"/>
      <c r="M45" s="49"/>
    </row>
    <row r="46" spans="1:15" ht="20.100000000000001" customHeight="1" thickBot="1" x14ac:dyDescent="0.2">
      <c r="A46" s="233"/>
      <c r="B46" s="233"/>
      <c r="C46" s="8"/>
      <c r="D46" s="6"/>
      <c r="E46" s="6"/>
      <c r="F46" s="6"/>
      <c r="G46" s="9"/>
      <c r="H46" s="9"/>
      <c r="I46" s="9"/>
      <c r="J46" s="9"/>
      <c r="K46" s="49"/>
      <c r="L46" s="49"/>
      <c r="M46" s="49"/>
    </row>
    <row r="47" spans="1:15" ht="23.25" thickBot="1" x14ac:dyDescent="0.2">
      <c r="A47" s="233"/>
      <c r="B47" s="233"/>
      <c r="C47" s="8"/>
      <c r="D47" s="8"/>
      <c r="E47" s="8"/>
      <c r="F47" s="8"/>
      <c r="G47" s="234" t="s">
        <v>29</v>
      </c>
      <c r="H47" s="235"/>
      <c r="I47" s="236"/>
      <c r="J47" s="31"/>
      <c r="K47" s="48"/>
      <c r="L47" s="48"/>
    </row>
    <row r="48" spans="1:15" ht="23.25" thickBot="1" x14ac:dyDescent="0.2">
      <c r="A48" s="233"/>
      <c r="B48" s="233"/>
      <c r="C48" s="8"/>
      <c r="D48" s="8"/>
      <c r="E48" s="8"/>
      <c r="F48" s="8"/>
      <c r="G48" s="237" t="s">
        <v>32</v>
      </c>
      <c r="H48" s="238"/>
      <c r="I48" s="239"/>
      <c r="J48" s="9"/>
      <c r="K48" s="49"/>
      <c r="L48" s="49"/>
      <c r="M48" s="49"/>
      <c r="N48" s="49"/>
      <c r="O48" s="49"/>
    </row>
    <row r="49" spans="1:15" ht="20.100000000000001" customHeight="1" x14ac:dyDescent="0.15">
      <c r="A49" s="7"/>
      <c r="B49" s="7"/>
      <c r="C49" s="8"/>
      <c r="D49" s="8"/>
      <c r="E49" s="8"/>
      <c r="F49" s="8"/>
      <c r="G49" s="10"/>
      <c r="H49" s="10"/>
      <c r="I49" s="45"/>
      <c r="J49" s="46"/>
      <c r="K49" s="49"/>
      <c r="L49" s="49"/>
      <c r="M49" s="49"/>
      <c r="N49" s="49"/>
      <c r="O49" s="49"/>
    </row>
    <row r="50" spans="1:15" ht="16.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49"/>
      <c r="L50" s="49"/>
      <c r="M50" s="49"/>
      <c r="N50" s="49"/>
      <c r="O50" s="49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3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 t="s">
        <v>30</v>
      </c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  <row r="82" spans="3:3" x14ac:dyDescent="0.15">
      <c r="C82" s="12"/>
    </row>
  </sheetData>
  <mergeCells count="77">
    <mergeCell ref="A39:B39"/>
    <mergeCell ref="A37:B37"/>
    <mergeCell ref="A34:B34"/>
    <mergeCell ref="A35:B35"/>
    <mergeCell ref="F38:J38"/>
    <mergeCell ref="A36:B36"/>
    <mergeCell ref="F36:J36"/>
    <mergeCell ref="F35:J35"/>
    <mergeCell ref="F37:J37"/>
    <mergeCell ref="A38:B38"/>
    <mergeCell ref="F39:J39"/>
    <mergeCell ref="A47:B47"/>
    <mergeCell ref="G47:I47"/>
    <mergeCell ref="A48:B48"/>
    <mergeCell ref="G48:I48"/>
    <mergeCell ref="A40:B40"/>
    <mergeCell ref="A43:B43"/>
    <mergeCell ref="F43:J43"/>
    <mergeCell ref="A44:B44"/>
    <mergeCell ref="F44:J44"/>
    <mergeCell ref="A42:B42"/>
    <mergeCell ref="F42:J42"/>
    <mergeCell ref="A41:B41"/>
    <mergeCell ref="F41:J41"/>
    <mergeCell ref="A46:B46"/>
    <mergeCell ref="A29:B29"/>
    <mergeCell ref="A30:B30"/>
    <mergeCell ref="A31:B31"/>
    <mergeCell ref="A32:B32"/>
    <mergeCell ref="A33:B33"/>
    <mergeCell ref="A27:B27"/>
    <mergeCell ref="F27:J27"/>
    <mergeCell ref="A28:B28"/>
    <mergeCell ref="A22:B22"/>
    <mergeCell ref="G22:J22"/>
    <mergeCell ref="A23:B23"/>
    <mergeCell ref="G24:J24"/>
    <mergeCell ref="G23:J23"/>
    <mergeCell ref="A25:J26"/>
    <mergeCell ref="A24:B24"/>
    <mergeCell ref="A19:B19"/>
    <mergeCell ref="G16:J16"/>
    <mergeCell ref="A20:B20"/>
    <mergeCell ref="A21:B21"/>
    <mergeCell ref="G21:J21"/>
    <mergeCell ref="G19:J19"/>
    <mergeCell ref="G20:J20"/>
    <mergeCell ref="A16:B16"/>
    <mergeCell ref="A17:B17"/>
    <mergeCell ref="G18:J18"/>
    <mergeCell ref="A18:B18"/>
    <mergeCell ref="G17:J17"/>
    <mergeCell ref="A12:C12"/>
    <mergeCell ref="D12:E12"/>
    <mergeCell ref="G12:H12"/>
    <mergeCell ref="I12:J12"/>
    <mergeCell ref="A15:B15"/>
    <mergeCell ref="G15:J15"/>
    <mergeCell ref="B8:C8"/>
    <mergeCell ref="H8:J8"/>
    <mergeCell ref="B4:D4"/>
    <mergeCell ref="B10:C10"/>
    <mergeCell ref="H11:J11"/>
    <mergeCell ref="B11:C11"/>
    <mergeCell ref="B9:C9"/>
    <mergeCell ref="H9:J9"/>
    <mergeCell ref="H10:J10"/>
    <mergeCell ref="F6:F7"/>
    <mergeCell ref="G6:G7"/>
    <mergeCell ref="K1:K2"/>
    <mergeCell ref="B6:C7"/>
    <mergeCell ref="H6:J7"/>
    <mergeCell ref="A1:J1"/>
    <mergeCell ref="E4:J4"/>
    <mergeCell ref="D6:E6"/>
    <mergeCell ref="A6:A7"/>
    <mergeCell ref="A3:H3"/>
  </mergeCells>
  <phoneticPr fontId="3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ERRAJI Houda</cp:lastModifiedBy>
  <cp:lastPrinted>2026-05-22T13:21:27Z</cp:lastPrinted>
  <dcterms:created xsi:type="dcterms:W3CDTF">2024-06-15T14:24:00Z</dcterms:created>
  <dcterms:modified xsi:type="dcterms:W3CDTF">2026-06-08T09:12:31Z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