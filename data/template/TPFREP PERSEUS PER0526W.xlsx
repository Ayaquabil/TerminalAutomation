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aqu\Downloads\"/>
    </mc:Choice>
  </mc:AlternateContent>
  <xr:revisionPtr revIDLastSave="0" documentId="8_{B4F8CA80-F652-468A-8D84-61156F9B0C13}" xr6:coauthVersionLast="47" xr6:coauthVersionMax="47" xr10:uidLastSave="{00000000-0000-0000-0000-000000000000}"/>
  <bookViews>
    <workbookView xWindow="-120" yWindow="-120" windowWidth="20730" windowHeight="11040" xr2:uid="{420E0A46-574E-43A5-8723-95740298CAF8}"/>
  </bookViews>
  <sheets>
    <sheet name="TDPR v1.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2" i="4"/>
  <c r="D31" i="4"/>
  <c r="E31" i="4"/>
  <c r="E62" i="4"/>
  <c r="F62" i="4"/>
  <c r="G62" i="4"/>
  <c r="H62" i="4"/>
  <c r="I62" i="4"/>
  <c r="J62" i="4"/>
  <c r="K62" i="4"/>
  <c r="L62" i="4"/>
  <c r="D63" i="4"/>
  <c r="E63" i="4"/>
  <c r="F63" i="4"/>
  <c r="G63" i="4"/>
  <c r="H63" i="4"/>
  <c r="I63" i="4"/>
  <c r="J63" i="4"/>
  <c r="K63" i="4"/>
  <c r="L63" i="4"/>
  <c r="D65" i="4"/>
  <c r="E71" i="4"/>
  <c r="F71" i="4"/>
  <c r="G71" i="4"/>
  <c r="H71" i="4"/>
  <c r="I71" i="4"/>
  <c r="J71" i="4"/>
  <c r="K71" i="4"/>
  <c r="L71" i="4"/>
  <c r="D72" i="4"/>
  <c r="D74" i="4"/>
  <c r="D76" i="4"/>
  <c r="D78" i="4"/>
  <c r="D80" i="4"/>
  <c r="D82" i="4"/>
  <c r="D84" i="4"/>
  <c r="D86" i="4"/>
  <c r="E86" i="4"/>
  <c r="F86" i="4"/>
  <c r="G86" i="4"/>
  <c r="H86" i="4"/>
  <c r="I86" i="4"/>
  <c r="J86" i="4"/>
  <c r="K86" i="4"/>
  <c r="L86" i="4"/>
  <c r="E91" i="4"/>
  <c r="F91" i="4"/>
  <c r="G91" i="4"/>
  <c r="H91" i="4"/>
  <c r="I91" i="4"/>
  <c r="J91" i="4"/>
  <c r="K91" i="4"/>
  <c r="L91" i="4"/>
  <c r="D92" i="4"/>
  <c r="D94" i="4"/>
  <c r="D96" i="4"/>
  <c r="D98" i="4"/>
  <c r="D100" i="4"/>
  <c r="D102" i="4"/>
  <c r="D104" i="4"/>
  <c r="E104" i="4"/>
  <c r="F104" i="4"/>
  <c r="G104" i="4"/>
  <c r="H104" i="4"/>
  <c r="I104" i="4"/>
  <c r="J104" i="4"/>
  <c r="K104" i="4"/>
  <c r="L104" i="4"/>
  <c r="D106" i="4"/>
  <c r="E106" i="4"/>
  <c r="F106" i="4"/>
  <c r="G106" i="4"/>
  <c r="H106" i="4"/>
  <c r="I106" i="4"/>
  <c r="J106" i="4"/>
  <c r="K106" i="4"/>
  <c r="L106" i="4"/>
  <c r="E108" i="4"/>
  <c r="F108" i="4"/>
  <c r="G108" i="4"/>
  <c r="H108" i="4"/>
  <c r="I108" i="4"/>
  <c r="J108" i="4"/>
  <c r="K108" i="4"/>
  <c r="L108" i="4"/>
  <c r="D110" i="4"/>
  <c r="D111" i="4"/>
  <c r="D112" i="4"/>
  <c r="E112" i="4"/>
  <c r="F112" i="4"/>
  <c r="G112" i="4"/>
  <c r="H112" i="4"/>
  <c r="I112" i="4"/>
  <c r="J112" i="4"/>
  <c r="K112" i="4"/>
  <c r="L112" i="4"/>
  <c r="D113" i="4"/>
  <c r="E113" i="4"/>
  <c r="F113" i="4"/>
  <c r="G113" i="4"/>
  <c r="H113" i="4"/>
  <c r="I113" i="4"/>
  <c r="J113" i="4"/>
  <c r="K113" i="4"/>
  <c r="L113" i="4"/>
  <c r="D116" i="4"/>
  <c r="E116" i="4"/>
  <c r="F116" i="4"/>
  <c r="G116" i="4"/>
  <c r="H116" i="4"/>
  <c r="I116" i="4"/>
  <c r="J116" i="4"/>
  <c r="K116" i="4"/>
  <c r="L116" i="4"/>
  <c r="D117" i="4"/>
  <c r="D120" i="4"/>
  <c r="E120" i="4"/>
  <c r="F120" i="4"/>
  <c r="G120" i="4"/>
  <c r="H120" i="4"/>
  <c r="I120" i="4"/>
  <c r="J120" i="4"/>
  <c r="K120" i="4"/>
  <c r="L120" i="4"/>
  <c r="D121" i="4"/>
  <c r="F128" i="4"/>
  <c r="I128" i="4"/>
  <c r="F129" i="4"/>
  <c r="I129" i="4"/>
  <c r="F130" i="4"/>
  <c r="I130" i="4"/>
  <c r="F131" i="4"/>
  <c r="I131" i="4"/>
  <c r="F132" i="4"/>
  <c r="I132" i="4"/>
  <c r="F133" i="4"/>
  <c r="I133" i="4"/>
  <c r="F134" i="4"/>
  <c r="I134" i="4"/>
  <c r="F135" i="4"/>
  <c r="I135" i="4"/>
  <c r="F136" i="4"/>
  <c r="I136" i="4"/>
  <c r="F137" i="4"/>
  <c r="I137" i="4"/>
  <c r="D138" i="4"/>
  <c r="E138" i="4"/>
  <c r="F138" i="4"/>
  <c r="G138" i="4"/>
  <c r="H138" i="4"/>
  <c r="I138" i="4"/>
  <c r="C142" i="4"/>
  <c r="F142" i="4"/>
  <c r="I142" i="4"/>
  <c r="C143" i="4"/>
  <c r="F143" i="4"/>
  <c r="I143" i="4"/>
  <c r="C144" i="4"/>
  <c r="F144" i="4"/>
  <c r="I144" i="4"/>
  <c r="C145" i="4"/>
  <c r="F145" i="4"/>
  <c r="I145" i="4"/>
  <c r="C146" i="4"/>
  <c r="F146" i="4"/>
  <c r="I146" i="4"/>
  <c r="C147" i="4"/>
  <c r="F147" i="4"/>
  <c r="I147" i="4"/>
  <c r="C148" i="4"/>
  <c r="F148" i="4"/>
  <c r="I148" i="4"/>
  <c r="C149" i="4"/>
  <c r="F149" i="4"/>
  <c r="I149" i="4"/>
  <c r="C150" i="4"/>
  <c r="F150" i="4"/>
  <c r="I150" i="4"/>
  <c r="C151" i="4"/>
  <c r="F151" i="4"/>
  <c r="I151" i="4"/>
  <c r="D152" i="4"/>
  <c r="E152" i="4"/>
  <c r="F152" i="4"/>
  <c r="G152" i="4"/>
  <c r="H152" i="4"/>
  <c r="I152" i="4"/>
  <c r="C159" i="4"/>
  <c r="F159" i="4"/>
  <c r="I159" i="4"/>
  <c r="C160" i="4"/>
  <c r="F160" i="4"/>
  <c r="I160" i="4"/>
  <c r="C161" i="4"/>
  <c r="F161" i="4"/>
  <c r="I161" i="4"/>
  <c r="C162" i="4"/>
  <c r="F162" i="4"/>
  <c r="I162" i="4"/>
  <c r="C163" i="4"/>
  <c r="F163" i="4"/>
  <c r="I163" i="4"/>
  <c r="C164" i="4"/>
  <c r="F164" i="4"/>
  <c r="I164" i="4"/>
  <c r="C165" i="4"/>
  <c r="F165" i="4"/>
  <c r="I165" i="4"/>
  <c r="C166" i="4"/>
  <c r="F166" i="4"/>
  <c r="I166" i="4"/>
  <c r="C167" i="4"/>
  <c r="F167" i="4"/>
  <c r="I167" i="4"/>
  <c r="C168" i="4"/>
  <c r="F168" i="4"/>
  <c r="I168" i="4"/>
  <c r="D169" i="4"/>
  <c r="E169" i="4"/>
  <c r="F169" i="4"/>
  <c r="G169" i="4"/>
  <c r="H169" i="4"/>
  <c r="I169" i="4"/>
  <c r="C173" i="4"/>
  <c r="F173" i="4"/>
  <c r="I173" i="4"/>
  <c r="C174" i="4"/>
  <c r="F174" i="4"/>
  <c r="I174" i="4"/>
  <c r="C175" i="4"/>
  <c r="F175" i="4"/>
  <c r="I175" i="4"/>
  <c r="C176" i="4"/>
  <c r="F176" i="4"/>
  <c r="I176" i="4"/>
  <c r="C177" i="4"/>
  <c r="F177" i="4"/>
  <c r="I177" i="4"/>
  <c r="C178" i="4"/>
  <c r="F178" i="4"/>
  <c r="I178" i="4"/>
  <c r="C179" i="4"/>
  <c r="F179" i="4"/>
  <c r="I179" i="4"/>
  <c r="C180" i="4"/>
  <c r="F180" i="4"/>
  <c r="I180" i="4"/>
  <c r="C181" i="4"/>
  <c r="F181" i="4"/>
  <c r="I181" i="4"/>
  <c r="C182" i="4"/>
  <c r="F182" i="4"/>
  <c r="I182" i="4"/>
  <c r="D183" i="4"/>
  <c r="E183" i="4"/>
  <c r="F183" i="4"/>
  <c r="G183" i="4"/>
  <c r="H183" i="4"/>
  <c r="I183" i="4"/>
  <c r="C187" i="4"/>
  <c r="F187" i="4"/>
  <c r="I187" i="4"/>
  <c r="C188" i="4"/>
  <c r="F188" i="4"/>
  <c r="I188" i="4"/>
  <c r="C189" i="4"/>
  <c r="F189" i="4"/>
  <c r="I189" i="4"/>
  <c r="C190" i="4"/>
  <c r="F190" i="4"/>
  <c r="I190" i="4"/>
  <c r="C191" i="4"/>
  <c r="F191" i="4"/>
  <c r="I191" i="4"/>
  <c r="C192" i="4"/>
  <c r="F192" i="4"/>
  <c r="I192" i="4"/>
  <c r="C193" i="4"/>
  <c r="F193" i="4"/>
  <c r="I193" i="4"/>
  <c r="C194" i="4"/>
  <c r="F194" i="4"/>
  <c r="I194" i="4"/>
  <c r="C195" i="4"/>
  <c r="F195" i="4"/>
  <c r="I195" i="4"/>
  <c r="C196" i="4"/>
  <c r="F196" i="4"/>
  <c r="I196" i="4"/>
  <c r="D197" i="4"/>
  <c r="E197" i="4"/>
  <c r="F197" i="4"/>
  <c r="G197" i="4"/>
  <c r="H197" i="4"/>
  <c r="I197" i="4"/>
  <c r="F203" i="4"/>
  <c r="I203" i="4"/>
  <c r="C204" i="4"/>
  <c r="F204" i="4"/>
  <c r="I204" i="4"/>
  <c r="C205" i="4"/>
  <c r="F205" i="4"/>
  <c r="I205" i="4"/>
  <c r="C206" i="4"/>
  <c r="F206" i="4"/>
  <c r="I206" i="4"/>
  <c r="C207" i="4"/>
  <c r="F207" i="4"/>
  <c r="I207" i="4"/>
  <c r="C208" i="4"/>
  <c r="F208" i="4"/>
  <c r="I208" i="4"/>
  <c r="C209" i="4"/>
  <c r="F209" i="4"/>
  <c r="I209" i="4"/>
  <c r="C210" i="4"/>
  <c r="F210" i="4"/>
  <c r="I210" i="4"/>
  <c r="C211" i="4"/>
  <c r="F211" i="4"/>
  <c r="I211" i="4"/>
  <c r="C212" i="4"/>
  <c r="F212" i="4"/>
  <c r="I212" i="4"/>
  <c r="C213" i="4"/>
  <c r="F213" i="4"/>
  <c r="I213" i="4"/>
  <c r="D214" i="4"/>
  <c r="E214" i="4"/>
  <c r="F214" i="4"/>
  <c r="G214" i="4"/>
  <c r="H214" i="4"/>
  <c r="I214" i="4"/>
  <c r="F218" i="4"/>
  <c r="I218" i="4"/>
  <c r="C219" i="4"/>
  <c r="F219" i="4"/>
  <c r="I219" i="4"/>
  <c r="C220" i="4"/>
  <c r="F220" i="4"/>
  <c r="I220" i="4"/>
  <c r="C221" i="4"/>
  <c r="F221" i="4"/>
  <c r="I221" i="4"/>
  <c r="C222" i="4"/>
  <c r="F222" i="4"/>
  <c r="I222" i="4"/>
  <c r="C223" i="4"/>
  <c r="F223" i="4"/>
  <c r="I223" i="4"/>
  <c r="C224" i="4"/>
  <c r="F224" i="4"/>
  <c r="I224" i="4"/>
  <c r="C225" i="4"/>
  <c r="F225" i="4"/>
  <c r="I225" i="4"/>
  <c r="C226" i="4"/>
  <c r="F226" i="4"/>
  <c r="I226" i="4"/>
  <c r="C227" i="4"/>
  <c r="F227" i="4"/>
  <c r="I227" i="4"/>
  <c r="C228" i="4"/>
  <c r="F228" i="4"/>
  <c r="I228" i="4"/>
  <c r="D229" i="4"/>
  <c r="E229" i="4"/>
  <c r="F229" i="4"/>
  <c r="G229" i="4"/>
  <c r="H229" i="4"/>
  <c r="I229" i="4"/>
  <c r="C239" i="4"/>
  <c r="F239" i="4"/>
  <c r="C240" i="4"/>
  <c r="F240" i="4"/>
  <c r="C241" i="4"/>
  <c r="F241" i="4"/>
  <c r="C242" i="4"/>
  <c r="F242" i="4"/>
  <c r="C243" i="4"/>
  <c r="F243" i="4"/>
  <c r="C244" i="4"/>
  <c r="F244" i="4"/>
  <c r="C245" i="4"/>
  <c r="F245" i="4"/>
  <c r="C246" i="4"/>
  <c r="F246" i="4"/>
  <c r="C247" i="4"/>
  <c r="F247" i="4"/>
  <c r="C248" i="4"/>
  <c r="F248" i="4"/>
  <c r="D249" i="4"/>
  <c r="E249" i="4"/>
  <c r="F249" i="4"/>
</calcChain>
</file>

<file path=xl/sharedStrings.xml><?xml version="1.0" encoding="utf-8"?>
<sst xmlns="http://schemas.openxmlformats.org/spreadsheetml/2006/main" count="235" uniqueCount="143">
  <si>
    <t xml:space="preserve"> </t>
  </si>
  <si>
    <t>TERMINAL DEPARTURE AND PERFORMANCE REPORT</t>
  </si>
  <si>
    <t>Total</t>
  </si>
  <si>
    <t>20'</t>
  </si>
  <si>
    <t>TOTALS</t>
  </si>
  <si>
    <t>Common</t>
  </si>
  <si>
    <t xml:space="preserve"> Port and Berthing Time</t>
  </si>
  <si>
    <t>RESTOW Moves</t>
  </si>
  <si>
    <t>Voyage # export</t>
  </si>
  <si>
    <t>Voyage # import</t>
  </si>
  <si>
    <t>Last Crane Lift</t>
  </si>
  <si>
    <t>First Crane Lift</t>
  </si>
  <si>
    <t>GC</t>
  </si>
  <si>
    <t>commenced</t>
  </si>
  <si>
    <t>completed</t>
  </si>
  <si>
    <t>Crane Timesheet and Delays</t>
  </si>
  <si>
    <t>Total Terminal Delays</t>
  </si>
  <si>
    <t>Total Ship or Cargo Delays</t>
  </si>
  <si>
    <t>Crane Type</t>
  </si>
  <si>
    <t>Vessel Name</t>
  </si>
  <si>
    <t>Full Discharged</t>
  </si>
  <si>
    <t>Empty Discharged</t>
  </si>
  <si>
    <t>CONTAINERS DISCHARGED</t>
  </si>
  <si>
    <t>CONTAINERS LOADED</t>
  </si>
  <si>
    <t>Deepsea Full Loaded</t>
  </si>
  <si>
    <t>Deepsea Empty Loaded</t>
  </si>
  <si>
    <t>4.1</t>
  </si>
  <si>
    <t>4.2</t>
  </si>
  <si>
    <t>Shortsea Full Loaded</t>
  </si>
  <si>
    <t>Shortsea Empty Loaded</t>
  </si>
  <si>
    <t>5.1</t>
  </si>
  <si>
    <t>Discharge+Reload (two moves)</t>
  </si>
  <si>
    <t>5.2</t>
  </si>
  <si>
    <t>Shift on Board (one move)</t>
  </si>
  <si>
    <t>Hatch Cover Moves</t>
  </si>
  <si>
    <t>Please fill in blue fields only. Do NOT add or remove columns or rows!</t>
  </si>
  <si>
    <t>Break Bulk Moves</t>
  </si>
  <si>
    <t>Load BB</t>
  </si>
  <si>
    <t>Discharge BB</t>
  </si>
  <si>
    <t>END</t>
  </si>
  <si>
    <t>Ttl BB moves</t>
  </si>
  <si>
    <r>
      <t xml:space="preserve">Free Text (FTX) </t>
    </r>
    <r>
      <rPr>
        <sz val="8"/>
        <rFont val="Arial"/>
        <family val="2"/>
      </rPr>
      <t>to specify additional 
delay reasons (max 75 characters)</t>
    </r>
  </si>
  <si>
    <t>4.3</t>
  </si>
  <si>
    <t>3.2</t>
  </si>
  <si>
    <t>Transhipment Discharged</t>
  </si>
  <si>
    <r>
      <t xml:space="preserve">Port </t>
    </r>
    <r>
      <rPr>
        <i/>
        <sz val="8"/>
        <rFont val="Arial"/>
        <family val="2"/>
      </rPr>
      <t>(UN Location Code)</t>
    </r>
  </si>
  <si>
    <r>
      <t xml:space="preserve">Planned Arrival Time 
</t>
    </r>
    <r>
      <rPr>
        <i/>
        <sz val="8"/>
        <rFont val="Arial"/>
        <family val="2"/>
      </rPr>
      <t>(as per coastal schedule - 24 hrs prior arrival)</t>
    </r>
  </si>
  <si>
    <r>
      <t xml:space="preserve">Arrival Berth </t>
    </r>
    <r>
      <rPr>
        <i/>
        <sz val="8"/>
        <rFont val="Arial"/>
        <family val="2"/>
      </rPr>
      <t>(actual berthing time)</t>
    </r>
  </si>
  <si>
    <r>
      <t xml:space="preserve">Planned Departure Time
</t>
    </r>
    <r>
      <rPr>
        <i/>
        <sz val="8"/>
        <rFont val="Arial"/>
        <family val="2"/>
      </rPr>
      <t>(as per coastal schedule - 24 hrs prior arrival)</t>
    </r>
  </si>
  <si>
    <r>
      <t xml:space="preserve">Sailed Berth </t>
    </r>
    <r>
      <rPr>
        <i/>
        <sz val="8"/>
        <rFont val="Arial"/>
        <family val="2"/>
      </rPr>
      <t>(actual sailing time)</t>
    </r>
  </si>
  <si>
    <r>
      <t>Lashing Gangs ON</t>
    </r>
    <r>
      <rPr>
        <i/>
        <sz val="8"/>
        <rFont val="Arial"/>
        <family val="2"/>
      </rPr>
      <t xml:space="preserve"> (commence  work)</t>
    </r>
  </si>
  <si>
    <r>
      <t xml:space="preserve">Lashing Gangs OFF </t>
    </r>
    <r>
      <rPr>
        <i/>
        <sz val="8"/>
        <rFont val="Arial"/>
        <family val="2"/>
      </rPr>
      <t>(finish work)</t>
    </r>
  </si>
  <si>
    <r>
      <t xml:space="preserve">Vessel IMO number 
</t>
    </r>
    <r>
      <rPr>
        <i/>
        <sz val="8"/>
        <rFont val="Arial"/>
        <family val="2"/>
      </rPr>
      <t>if IMO number not known use Call Sign</t>
    </r>
  </si>
  <si>
    <r>
      <t xml:space="preserve">Vessel Call Sign 
</t>
    </r>
    <r>
      <rPr>
        <i/>
        <sz val="8"/>
        <rFont val="Arial"/>
        <family val="2"/>
      </rPr>
      <t>if IMO number not known</t>
    </r>
  </si>
  <si>
    <r>
      <t xml:space="preserve">Gross Hours </t>
    </r>
    <r>
      <rPr>
        <sz val="10"/>
        <rFont val="Arial"/>
        <family val="2"/>
      </rPr>
      <t>calculated</t>
    </r>
  </si>
  <si>
    <t>Total Moves per Crane</t>
  </si>
  <si>
    <t>Total # Cranes</t>
  </si>
  <si>
    <t xml:space="preserve">
2.2</t>
  </si>
  <si>
    <t>PLT  Planning Terminal</t>
  </si>
  <si>
    <t>LAS  Lashing/Unlashing</t>
  </si>
  <si>
    <t>AIP  Terminal Accidents</t>
  </si>
  <si>
    <t>HLD  Hatch lids</t>
  </si>
  <si>
    <t>LIA  Labour industrial action</t>
  </si>
  <si>
    <t>FTE  Failor or Unavailibity 
of terminal equipment</t>
  </si>
  <si>
    <t>LOT  Labour other</t>
  </si>
  <si>
    <t>WEA  Weather</t>
  </si>
  <si>
    <t>DIN  Inadeqaute Information</t>
  </si>
  <si>
    <t>CAE  Await Cargo Exports</t>
  </si>
  <si>
    <t>UCC  Uncontrzd Cargo</t>
  </si>
  <si>
    <t>SPE  Ship-Personel,equipment 
not ready or unavailable</t>
  </si>
  <si>
    <t>MSC  Miscellaneous</t>
  </si>
  <si>
    <t>Delays caused by Port or 
Terminal Operator</t>
  </si>
  <si>
    <t>Delays caused by Ship or 
Cargo Operation</t>
  </si>
  <si>
    <t xml:space="preserve">
2.3</t>
  </si>
  <si>
    <t>2.5</t>
  </si>
  <si>
    <t>Productivity</t>
  </si>
  <si>
    <t>Transhipment Full Discharged</t>
  </si>
  <si>
    <t>Transhipment Empty Discharged</t>
  </si>
  <si>
    <t>Transhipment Full Loaded</t>
  </si>
  <si>
    <t>Transhipment Empty Loaded</t>
  </si>
  <si>
    <t>Slot Summary - 
All Discharged Boxes</t>
  </si>
  <si>
    <t xml:space="preserve">
3.1</t>
  </si>
  <si>
    <t>Deepsea Loaded</t>
  </si>
  <si>
    <t>Shortsea Loaded</t>
  </si>
  <si>
    <r>
      <t xml:space="preserve">Full Restow
</t>
    </r>
    <r>
      <rPr>
        <sz val="10"/>
        <rFont val="Arial"/>
        <family val="2"/>
      </rPr>
      <t>Discharge+Reload</t>
    </r>
  </si>
  <si>
    <r>
      <t xml:space="preserve">Empty Restow
</t>
    </r>
    <r>
      <rPr>
        <sz val="10"/>
        <rFont val="Arial"/>
        <family val="2"/>
      </rPr>
      <t>Discharge+Reload</t>
    </r>
  </si>
  <si>
    <r>
      <t xml:space="preserve">Full Restow
</t>
    </r>
    <r>
      <rPr>
        <sz val="10"/>
        <rFont val="Arial"/>
        <family val="2"/>
      </rPr>
      <t>Shift on Board</t>
    </r>
  </si>
  <si>
    <r>
      <t xml:space="preserve">Empty Restow
</t>
    </r>
    <r>
      <rPr>
        <sz val="10"/>
        <rFont val="Arial"/>
        <family val="2"/>
      </rPr>
      <t>Shift on Board</t>
    </r>
  </si>
  <si>
    <t>hide</t>
  </si>
  <si>
    <t>Please include 45' boxes in the 40' columns.</t>
  </si>
  <si>
    <r>
      <t>Gross PortTime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Arrival Berth  /  Sailed Berth)</t>
    </r>
  </si>
  <si>
    <r>
      <t>Gross Shift 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First  /  Last Crane Lift)</t>
    </r>
  </si>
  <si>
    <r>
      <t>Gross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(all Cranes Summary</t>
    </r>
    <r>
      <rPr>
        <i/>
        <sz val="8"/>
        <rFont val="Arial"/>
        <family val="2"/>
      </rPr>
      <t>)</t>
    </r>
  </si>
  <si>
    <r>
      <t>Net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(excluding Delays</t>
    </r>
    <r>
      <rPr>
        <i/>
        <sz val="8"/>
        <rFont val="Arial"/>
        <family val="2"/>
      </rPr>
      <t>)</t>
    </r>
  </si>
  <si>
    <t>Transhipment Loaded</t>
  </si>
  <si>
    <t>Total all Cranes</t>
  </si>
  <si>
    <r>
      <t xml:space="preserve">Gross Moves per Hour
</t>
    </r>
    <r>
      <rPr>
        <sz val="10"/>
        <rFont val="Arial"/>
        <family val="2"/>
      </rPr>
      <t>based on Gross Working Time</t>
    </r>
  </si>
  <si>
    <t>Average per crane</t>
  </si>
  <si>
    <r>
      <t xml:space="preserve">Net Moves per Hour
</t>
    </r>
    <r>
      <rPr>
        <sz val="10"/>
        <rFont val="Arial"/>
        <family val="2"/>
      </rPr>
      <t>based on Net Working Time</t>
    </r>
  </si>
  <si>
    <t>P1</t>
  </si>
  <si>
    <t>Crane ID</t>
  </si>
  <si>
    <t>2.1</t>
  </si>
  <si>
    <t>1.2</t>
  </si>
  <si>
    <t>Duration</t>
  </si>
  <si>
    <t>Reason</t>
  </si>
  <si>
    <t>1.1</t>
  </si>
  <si>
    <t>Vessel Timesheet</t>
  </si>
  <si>
    <t>Crane Timesheet</t>
  </si>
  <si>
    <t>General Delays / Remarks</t>
  </si>
  <si>
    <t>Category</t>
  </si>
  <si>
    <t>If Crane Split not known, 
report summary in first Crane column.</t>
  </si>
  <si>
    <t>Total General Delays Decimal hh,mm</t>
  </si>
  <si>
    <t>Total ship/cargo Delays Decimal hh,mm</t>
  </si>
  <si>
    <t>total gross hours</t>
  </si>
  <si>
    <t>Vessel Operator 
(use SMDG Code)</t>
  </si>
  <si>
    <t>Please report SMDG Codes for 
Container Operators.</t>
  </si>
  <si>
    <t>Please report "Common" if no operator responsible.</t>
  </si>
  <si>
    <t>40'  +  45'</t>
  </si>
  <si>
    <t>For one restow via pier (one discharge + reload) report &lt; 2 moves &gt;.
Only even numbers in section 5.1</t>
  </si>
  <si>
    <t>For one hatch cover move via pier report &lt; 2 moves &gt;.
Only even numbers in section 6</t>
  </si>
  <si>
    <t>Please enter Container Operators in lines 
98 thru 107 above</t>
  </si>
  <si>
    <t>Number of T/S boxes included in the deepsea resp shortsea figures in 4.1 resp 4.2 above.
T/S means the box had entered the terminal from another vessel, not thru the gates.</t>
  </si>
  <si>
    <t>Number of T/S boxes included in the Discharge summary in 3.1 above.
T/S means the box had entered the terminal from another vessel, not thru the gates.</t>
  </si>
  <si>
    <t>Break Bulk means lifting of uncontainerized cargo items without container.
Lifting of OpenTop/Flat with overheight/overwidth is NOT Break Bulk but to be reported in section 3 / 4 above</t>
  </si>
  <si>
    <t>Delays not assigned to an individual crane.
To be recorded as elapsed time hh:mm</t>
  </si>
  <si>
    <t>dd.mm.yyyy  hh:mm</t>
  </si>
  <si>
    <t>Delays to be recorded as elapsed time hh:mm</t>
  </si>
  <si>
    <t>Date + Time     dd.mm.yyyy  hh:mm</t>
  </si>
  <si>
    <t>Total Moves including Restows and Hatch Cover Moves</t>
  </si>
  <si>
    <t>optional</t>
  </si>
  <si>
    <t>Reason Code</t>
  </si>
  <si>
    <r>
      <t xml:space="preserve">Terminal Code </t>
    </r>
    <r>
      <rPr>
        <i/>
        <sz val="8"/>
        <rFont val="Arial"/>
        <family val="2"/>
      </rPr>
      <t>(as per mutual agreement)</t>
    </r>
  </si>
  <si>
    <t>MC</t>
  </si>
  <si>
    <t>FL</t>
  </si>
  <si>
    <t>SC</t>
  </si>
  <si>
    <t>CMA CGM Group</t>
  </si>
  <si>
    <t xml:space="preserve">This spreadsheet is an exact mirror of the UN  EDIFACT message TPFREP D 00B SMDG 3.0  </t>
  </si>
  <si>
    <t>P2</t>
  </si>
  <si>
    <t>Seconde part P1</t>
  </si>
  <si>
    <t>p4</t>
  </si>
  <si>
    <t>p3</t>
  </si>
  <si>
    <t>-</t>
  </si>
  <si>
    <t>AKN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</si>
</sst>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mm/dd/yy"/>
    <numFmt numFmtId="187" formatCode="0.0"/>
    <numFmt numFmtId="189" formatCode="d/m/yy\ h:mm;@"/>
    <numFmt numFmtId="191" formatCode="h:mm;@"/>
    <numFmt numFmtId="192" formatCode="[h]:mm:ss;@"/>
    <numFmt numFmtId="199" formatCode="d:\ \ hh:mm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Helv"/>
    </font>
    <font>
      <i/>
      <sz val="8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2"/>
      <name val="Courier New"/>
      <family val="3"/>
    </font>
    <font>
      <sz val="10"/>
      <color indexed="10"/>
      <name val="Arial"/>
      <family val="2"/>
    </font>
    <font>
      <sz val="12"/>
      <color indexed="10"/>
      <name val="AvantGarde Md BT"/>
      <family val="2"/>
    </font>
    <font>
      <sz val="8"/>
      <color indexed="10"/>
      <name val="Arial"/>
      <family val="2"/>
    </font>
    <font>
      <i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/>
    <xf numFmtId="0" fontId="0" fillId="0" borderId="0" xfId="0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0" fontId="3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1" xfId="0" applyFill="1" applyBorder="1"/>
    <xf numFmtId="180" fontId="0" fillId="0" borderId="0" xfId="0" applyNumberFormat="1" applyFill="1" applyBorder="1"/>
    <xf numFmtId="20" fontId="0" fillId="0" borderId="0" xfId="0" applyNumberFormat="1" applyFill="1" applyBorder="1"/>
    <xf numFmtId="20" fontId="0" fillId="0" borderId="0" xfId="0" applyNumberFormat="1"/>
    <xf numFmtId="14" fontId="0" fillId="0" borderId="0" xfId="0" applyNumberFormat="1" applyFill="1" applyBorder="1"/>
    <xf numFmtId="0" fontId="0" fillId="0" borderId="0" xfId="0" applyFill="1" applyBorder="1" applyProtection="1"/>
    <xf numFmtId="0" fontId="3" fillId="0" borderId="0" xfId="0" applyFont="1" applyFill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right" wrapText="1"/>
    </xf>
    <xf numFmtId="0" fontId="0" fillId="2" borderId="1" xfId="0" applyFill="1" applyBorder="1"/>
    <xf numFmtId="0" fontId="2" fillId="0" borderId="0" xfId="0" applyFont="1" applyAlignment="1"/>
    <xf numFmtId="1" fontId="0" fillId="2" borderId="1" xfId="0" applyNumberFormat="1" applyFill="1" applyBorder="1"/>
    <xf numFmtId="1" fontId="0" fillId="2" borderId="2" xfId="0" applyNumberFormat="1" applyFill="1" applyBorder="1"/>
    <xf numFmtId="0" fontId="2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187" fontId="2" fillId="0" borderId="0" xfId="0" quotePrefix="1" applyNumberFormat="1" applyFont="1" applyAlignment="1">
      <alignment horizontal="center"/>
    </xf>
    <xf numFmtId="16" fontId="2" fillId="0" borderId="0" xfId="0" quotePrefix="1" applyNumberFormat="1" applyFont="1" applyAlignment="1">
      <alignment horizontal="center"/>
    </xf>
    <xf numFmtId="0" fontId="2" fillId="0" borderId="0" xfId="0" quotePrefix="1" applyFont="1" applyFill="1" applyAlignment="1">
      <alignment horizontal="center" vertical="top"/>
    </xf>
    <xf numFmtId="1" fontId="0" fillId="0" borderId="0" xfId="0" applyNumberFormat="1" applyFill="1" applyBorder="1"/>
    <xf numFmtId="1" fontId="3" fillId="0" borderId="0" xfId="0" applyNumberFormat="1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3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2" fillId="0" borderId="0" xfId="0" quotePrefix="1" applyFont="1" applyFill="1" applyAlignment="1">
      <alignment horizontal="center" vertical="top" wrapText="1"/>
    </xf>
    <xf numFmtId="0" fontId="10" fillId="0" borderId="0" xfId="0" applyFont="1" applyFill="1"/>
    <xf numFmtId="0" fontId="3" fillId="0" borderId="0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Fill="1" applyBorder="1" applyAlignment="1">
      <alignment wrapText="1"/>
    </xf>
    <xf numFmtId="0" fontId="0" fillId="0" borderId="3" xfId="0" applyFill="1" applyBorder="1"/>
    <xf numFmtId="192" fontId="0" fillId="2" borderId="4" xfId="0" applyNumberFormat="1" applyFill="1" applyBorder="1"/>
    <xf numFmtId="0" fontId="3" fillId="0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Border="1"/>
    <xf numFmtId="192" fontId="0" fillId="2" borderId="8" xfId="0" applyNumberFormat="1" applyFill="1" applyBorder="1"/>
    <xf numFmtId="192" fontId="0" fillId="2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2" xfId="0" applyFill="1" applyBorder="1" applyAlignment="1">
      <alignment horizontal="center"/>
    </xf>
    <xf numFmtId="187" fontId="2" fillId="0" borderId="0" xfId="0" quotePrefix="1" applyNumberFormat="1" applyFont="1" applyAlignment="1">
      <alignment horizontal="center" vertical="top"/>
    </xf>
    <xf numFmtId="0" fontId="2" fillId="0" borderId="0" xfId="0" applyFont="1" applyFill="1" applyAlignment="1">
      <alignment vertical="top"/>
    </xf>
    <xf numFmtId="2" fontId="0" fillId="2" borderId="10" xfId="0" applyNumberFormat="1" applyFill="1" applyBorder="1"/>
    <xf numFmtId="2" fontId="0" fillId="0" borderId="0" xfId="0" applyNumberFormat="1" applyFill="1"/>
    <xf numFmtId="2" fontId="0" fillId="2" borderId="4" xfId="0" applyNumberFormat="1" applyFill="1" applyBorder="1"/>
    <xf numFmtId="0" fontId="11" fillId="0" borderId="0" xfId="0" applyFont="1" applyFill="1" applyAlignment="1">
      <alignment horizontal="center"/>
    </xf>
    <xf numFmtId="2" fontId="0" fillId="2" borderId="1" xfId="0" applyNumberFormat="1" applyFill="1" applyBorder="1"/>
    <xf numFmtId="2" fontId="0" fillId="0" borderId="0" xfId="0" applyNumberFormat="1" applyBorder="1"/>
    <xf numFmtId="0" fontId="5" fillId="3" borderId="0" xfId="0" applyFont="1" applyFill="1" applyBorder="1" applyAlignment="1">
      <alignment vertical="center" wrapText="1"/>
    </xf>
    <xf numFmtId="0" fontId="2" fillId="0" borderId="0" xfId="0" applyFont="1" applyFill="1" applyBorder="1"/>
    <xf numFmtId="192" fontId="0" fillId="2" borderId="11" xfId="0" applyNumberFormat="1" applyFill="1" applyBorder="1"/>
    <xf numFmtId="192" fontId="0" fillId="2" borderId="12" xfId="0" applyNumberFormat="1" applyFill="1" applyBorder="1"/>
    <xf numFmtId="192" fontId="0" fillId="2" borderId="13" xfId="0" applyNumberFormat="1" applyFill="1" applyBorder="1"/>
    <xf numFmtId="0" fontId="12" fillId="0" borderId="0" xfId="0" applyFont="1" applyFill="1" applyBorder="1" applyAlignment="1">
      <alignment wrapText="1"/>
    </xf>
    <xf numFmtId="2" fontId="12" fillId="0" borderId="0" xfId="0" applyNumberFormat="1" applyFont="1" applyFill="1" applyBorder="1"/>
    <xf numFmtId="0" fontId="12" fillId="0" borderId="0" xfId="0" applyFont="1" applyFill="1"/>
    <xf numFmtId="187" fontId="10" fillId="4" borderId="0" xfId="0" quotePrefix="1" applyNumberFormat="1" applyFont="1" applyFill="1" applyAlignment="1">
      <alignment horizontal="center"/>
    </xf>
    <xf numFmtId="0" fontId="10" fillId="4" borderId="0" xfId="0" applyFont="1" applyFill="1"/>
    <xf numFmtId="0" fontId="2" fillId="4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2" fontId="2" fillId="2" borderId="4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2" fontId="1" fillId="2" borderId="10" xfId="0" applyNumberFormat="1" applyFont="1" applyFill="1" applyBorder="1" applyAlignment="1">
      <alignment vertical="center"/>
    </xf>
    <xf numFmtId="46" fontId="0" fillId="2" borderId="4" xfId="0" applyNumberForma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2" fontId="1" fillId="2" borderId="4" xfId="0" applyNumberFormat="1" applyFont="1" applyFill="1" applyBorder="1" applyAlignment="1">
      <alignment vertical="center"/>
    </xf>
    <xf numFmtId="2" fontId="2" fillId="2" borderId="1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3" xfId="0" applyBorder="1"/>
    <xf numFmtId="0" fontId="3" fillId="2" borderId="1" xfId="0" applyFont="1" applyFill="1" applyBorder="1" applyAlignment="1">
      <alignment horizontal="right" wrapText="1"/>
    </xf>
    <xf numFmtId="0" fontId="2" fillId="5" borderId="10" xfId="0" applyFont="1" applyFill="1" applyBorder="1" applyAlignment="1">
      <alignment horizontal="center"/>
    </xf>
    <xf numFmtId="0" fontId="14" fillId="0" borderId="0" xfId="0" applyFont="1"/>
    <xf numFmtId="0" fontId="5" fillId="0" borderId="0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189" fontId="1" fillId="0" borderId="0" xfId="0" applyNumberFormat="1" applyFont="1" applyFill="1" applyBorder="1"/>
    <xf numFmtId="0" fontId="2" fillId="5" borderId="15" xfId="0" applyFont="1" applyFill="1" applyBorder="1" applyAlignment="1">
      <alignment horizontal="center"/>
    </xf>
    <xf numFmtId="0" fontId="2" fillId="0" borderId="0" xfId="0" quotePrefix="1" applyFont="1" applyFill="1" applyAlignment="1">
      <alignment vertical="center" wrapText="1"/>
    </xf>
    <xf numFmtId="0" fontId="0" fillId="0" borderId="4" xfId="0" applyFill="1" applyBorder="1" applyAlignment="1">
      <alignment vertical="top" wrapText="1"/>
    </xf>
    <xf numFmtId="192" fontId="16" fillId="0" borderId="8" xfId="0" applyNumberFormat="1" applyFont="1" applyFill="1" applyBorder="1"/>
    <xf numFmtId="2" fontId="1" fillId="2" borderId="16" xfId="0" applyNumberFormat="1" applyFont="1" applyFill="1" applyBorder="1" applyAlignment="1">
      <alignment vertical="center"/>
    </xf>
    <xf numFmtId="191" fontId="0" fillId="0" borderId="0" xfId="0" applyNumberFormat="1" applyFill="1" applyBorder="1"/>
    <xf numFmtId="0" fontId="15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1" fillId="0" borderId="0" xfId="0" applyFont="1" applyFill="1" applyAlignment="1">
      <alignment horizontal="right" wrapText="1"/>
    </xf>
    <xf numFmtId="192" fontId="16" fillId="0" borderId="4" xfId="0" applyNumberFormat="1" applyFont="1" applyFill="1" applyBorder="1"/>
    <xf numFmtId="199" fontId="17" fillId="0" borderId="17" xfId="0" applyNumberFormat="1" applyFont="1" applyBorder="1" applyAlignment="1" applyProtection="1"/>
    <xf numFmtId="0" fontId="16" fillId="0" borderId="0" xfId="0" applyFont="1" applyFill="1"/>
    <xf numFmtId="0" fontId="0" fillId="0" borderId="1" xfId="0" quotePrefix="1" applyBorder="1" applyAlignment="1">
      <alignment horizontal="center"/>
    </xf>
    <xf numFmtId="0" fontId="14" fillId="0" borderId="0" xfId="0" applyFont="1" applyAlignment="1">
      <alignment vertical="center"/>
    </xf>
    <xf numFmtId="1" fontId="0" fillId="2" borderId="2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5" fillId="3" borderId="0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/>
    </xf>
    <xf numFmtId="0" fontId="5" fillId="3" borderId="18" xfId="0" applyFont="1" applyFill="1" applyBorder="1" applyAlignment="1">
      <alignment vertical="center" wrapText="1"/>
    </xf>
    <xf numFmtId="0" fontId="0" fillId="3" borderId="0" xfId="0" applyFill="1" applyAlignment="1">
      <alignment horizontal="centerContinuous"/>
    </xf>
    <xf numFmtId="0" fontId="2" fillId="3" borderId="19" xfId="0" applyFont="1" applyFill="1" applyBorder="1" applyAlignment="1">
      <alignment horizontal="centerContinuous"/>
    </xf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Border="1" applyAlignment="1">
      <alignment horizontal="right" vertical="center" wrapText="1"/>
    </xf>
    <xf numFmtId="0" fontId="9" fillId="3" borderId="0" xfId="0" applyFont="1" applyFill="1" applyBorder="1" applyAlignment="1">
      <alignment horizontal="centerContinuous" vertical="center" wrapText="1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189" fontId="0" fillId="0" borderId="0" xfId="0" applyNumberFormat="1"/>
    <xf numFmtId="189" fontId="1" fillId="2" borderId="1" xfId="0" applyNumberFormat="1" applyFont="1" applyFill="1" applyBorder="1"/>
    <xf numFmtId="0" fontId="2" fillId="0" borderId="20" xfId="0" applyFont="1" applyFill="1" applyBorder="1" applyAlignment="1">
      <alignment horizontal="center" wrapText="1"/>
    </xf>
    <xf numFmtId="192" fontId="0" fillId="0" borderId="9" xfId="0" applyNumberFormat="1" applyFill="1" applyBorder="1"/>
    <xf numFmtId="191" fontId="0" fillId="0" borderId="10" xfId="0" applyNumberFormat="1" applyFill="1" applyBorder="1"/>
    <xf numFmtId="191" fontId="0" fillId="0" borderId="1" xfId="0" applyNumberFormat="1" applyFill="1" applyBorder="1"/>
    <xf numFmtId="0" fontId="3" fillId="0" borderId="0" xfId="0" applyFont="1" applyFill="1" applyAlignment="1">
      <alignment wrapText="1"/>
    </xf>
    <xf numFmtId="192" fontId="0" fillId="0" borderId="21" xfId="0" applyNumberFormat="1" applyFill="1" applyBorder="1"/>
    <xf numFmtId="192" fontId="0" fillId="0" borderId="4" xfId="0" applyNumberFormat="1" applyFill="1" applyBorder="1"/>
    <xf numFmtId="0" fontId="18" fillId="0" borderId="0" xfId="0" applyFont="1" applyFill="1" applyBorder="1"/>
    <xf numFmtId="0" fontId="0" fillId="5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Protection="1">
      <protection locked="0"/>
    </xf>
    <xf numFmtId="189" fontId="1" fillId="5" borderId="1" xfId="0" applyNumberFormat="1" applyFont="1" applyFill="1" applyBorder="1" applyProtection="1">
      <protection locked="0"/>
    </xf>
    <xf numFmtId="191" fontId="0" fillId="5" borderId="1" xfId="0" applyNumberFormat="1" applyFill="1" applyBorder="1" applyProtection="1">
      <protection locked="0"/>
    </xf>
    <xf numFmtId="0" fontId="15" fillId="5" borderId="22" xfId="0" applyFont="1" applyFill="1" applyBorder="1" applyAlignment="1" applyProtection="1">
      <alignment horizontal="center"/>
      <protection locked="0"/>
    </xf>
    <xf numFmtId="0" fontId="15" fillId="5" borderId="22" xfId="0" applyFont="1" applyFill="1" applyBorder="1" applyProtection="1">
      <protection locked="0"/>
    </xf>
    <xf numFmtId="0" fontId="2" fillId="5" borderId="10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3" fillId="5" borderId="10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89" fontId="1" fillId="5" borderId="10" xfId="0" applyNumberFormat="1" applyFont="1" applyFill="1" applyBorder="1" applyProtection="1">
      <protection locked="0"/>
    </xf>
    <xf numFmtId="22" fontId="1" fillId="5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5" borderId="10" xfId="0" applyFill="1" applyBorder="1" applyProtection="1">
      <protection locked="0"/>
    </xf>
    <xf numFmtId="191" fontId="0" fillId="5" borderId="10" xfId="0" applyNumberFormat="1" applyFill="1" applyBorder="1" applyProtection="1">
      <protection locked="0"/>
    </xf>
    <xf numFmtId="191" fontId="0" fillId="0" borderId="10" xfId="0" applyNumberFormat="1" applyFill="1" applyBorder="1" applyProtection="1">
      <protection locked="0"/>
    </xf>
    <xf numFmtId="191" fontId="0" fillId="0" borderId="1" xfId="0" applyNumberFormat="1" applyFill="1" applyBorder="1" applyProtection="1">
      <protection locked="0"/>
    </xf>
    <xf numFmtId="0" fontId="0" fillId="5" borderId="10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0" fillId="5" borderId="0" xfId="0" applyFill="1" applyProtection="1">
      <protection locked="0"/>
    </xf>
    <xf numFmtId="1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" fontId="3" fillId="5" borderId="1" xfId="0" applyNumberFormat="1" applyFont="1" applyFill="1" applyBorder="1" applyAlignment="1" applyProtection="1">
      <alignment vertical="center"/>
      <protection locked="0"/>
    </xf>
    <xf numFmtId="0" fontId="0" fillId="5" borderId="23" xfId="0" applyFill="1" applyBorder="1" applyProtection="1">
      <protection locked="0"/>
    </xf>
    <xf numFmtId="0" fontId="0" fillId="0" borderId="0" xfId="0" applyProtection="1"/>
    <xf numFmtId="14" fontId="0" fillId="0" borderId="0" xfId="0" applyNumberFormat="1" applyFill="1" applyBorder="1" applyProtection="1"/>
    <xf numFmtId="187" fontId="4" fillId="0" borderId="0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16" fillId="0" borderId="0" xfId="0" applyFont="1" applyFill="1" applyProtection="1"/>
    <xf numFmtId="0" fontId="0" fillId="0" borderId="0" xfId="0" applyAlignment="1" applyProtection="1">
      <alignment vertical="center"/>
    </xf>
    <xf numFmtId="0" fontId="12" fillId="0" borderId="0" xfId="0" applyFont="1" applyFill="1" applyProtection="1"/>
    <xf numFmtId="0" fontId="2" fillId="0" borderId="0" xfId="0" applyFont="1" applyProtection="1"/>
    <xf numFmtId="0" fontId="2" fillId="0" borderId="19" xfId="0" applyFont="1" applyFill="1" applyBorder="1" applyAlignment="1">
      <alignment horizontal="center" wrapText="1"/>
    </xf>
    <xf numFmtId="189" fontId="0" fillId="5" borderId="1" xfId="0" applyNumberFormat="1" applyFill="1" applyBorder="1" applyProtection="1">
      <protection locked="0"/>
    </xf>
    <xf numFmtId="189" fontId="0" fillId="5" borderId="1" xfId="0" applyNumberFormat="1" applyFont="1" applyFill="1" applyBorder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49" fontId="3" fillId="5" borderId="1" xfId="0" applyNumberFormat="1" applyFont="1" applyFill="1" applyBorder="1" applyAlignment="1" applyProtection="1">
      <alignment horizontal="right" vertical="center"/>
      <protection locked="0"/>
    </xf>
    <xf numFmtId="189" fontId="3" fillId="5" borderId="1" xfId="0" applyNumberFormat="1" applyFont="1" applyFill="1" applyBorder="1" applyProtection="1">
      <protection locked="0"/>
    </xf>
    <xf numFmtId="0" fontId="3" fillId="5" borderId="0" xfId="0" applyFont="1" applyFill="1" applyProtection="1">
      <protection locked="0"/>
    </xf>
    <xf numFmtId="20" fontId="15" fillId="5" borderId="22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3" fillId="5" borderId="22" xfId="0" applyFont="1" applyFill="1" applyBorder="1" applyAlignment="1" applyProtection="1">
      <alignment horizontal="left"/>
      <protection locked="0"/>
    </xf>
    <xf numFmtId="0" fontId="3" fillId="5" borderId="10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>
      <alignment horizontal="center"/>
    </xf>
    <xf numFmtId="0" fontId="19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2380-02A1-4874-A5DE-2F82EE110944}">
  <sheetPr codeName="Sheet1"/>
  <dimension ref="A1:W251"/>
  <sheetViews>
    <sheetView tabSelected="1" topLeftCell="B242" zoomScale="110" zoomScaleNormal="110" zoomScaleSheetLayoutView="50" workbookViewId="0">
      <selection activeCell="E204" sqref="E204"/>
    </sheetView>
  </sheetViews>
  <sheetFormatPr baseColWidth="10" defaultColWidth="8.85546875" defaultRowHeight="12.75"/>
  <cols>
    <col min="1" max="1" width="3.42578125" style="146" hidden="1" customWidth="1"/>
    <col min="2" max="2" width="5.28515625" style="4" customWidth="1"/>
    <col min="3" max="3" width="35.28515625" customWidth="1"/>
    <col min="4" max="12" width="14.140625" customWidth="1"/>
    <col min="13" max="13" width="15.140625" customWidth="1"/>
    <col min="14" max="14" width="3.7109375" hidden="1" customWidth="1"/>
  </cols>
  <sheetData>
    <row r="1" spans="1:23">
      <c r="A1" s="146">
        <v>1</v>
      </c>
      <c r="B1" s="4" t="s">
        <v>0</v>
      </c>
      <c r="C1" s="191" t="s">
        <v>135</v>
      </c>
      <c r="D1" s="191"/>
      <c r="E1" s="191"/>
      <c r="F1" s="191"/>
      <c r="G1" s="191"/>
      <c r="H1" s="191"/>
      <c r="I1" s="191"/>
      <c r="J1" s="191"/>
      <c r="K1" s="191"/>
      <c r="L1" s="191"/>
      <c r="M1" s="172"/>
    </row>
    <row r="2" spans="1:23" ht="35.450000000000003" customHeight="1">
      <c r="A2" s="146">
        <v>2</v>
      </c>
      <c r="C2" s="41" t="s">
        <v>1</v>
      </c>
      <c r="G2" s="1"/>
      <c r="I2" s="29"/>
      <c r="J2" s="10"/>
      <c r="L2" s="6"/>
      <c r="M2" s="173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146">
        <v>3</v>
      </c>
      <c r="C3" s="42" t="s">
        <v>136</v>
      </c>
      <c r="D3" s="2"/>
      <c r="G3" s="1"/>
      <c r="I3" s="29"/>
      <c r="J3" s="10"/>
      <c r="L3" s="6"/>
      <c r="M3" s="173"/>
      <c r="O3" s="10"/>
      <c r="P3" s="10"/>
      <c r="Q3" s="10"/>
      <c r="R3" s="10"/>
      <c r="S3" s="10"/>
      <c r="T3" s="10"/>
      <c r="U3" s="10"/>
      <c r="V3" s="10"/>
      <c r="W3" s="10"/>
    </row>
    <row r="4" spans="1:23" ht="22.9" customHeight="1">
      <c r="A4" s="146">
        <v>4</v>
      </c>
      <c r="C4" s="195" t="s">
        <v>35</v>
      </c>
      <c r="D4" s="195"/>
      <c r="E4" s="195"/>
      <c r="F4" s="195"/>
      <c r="G4" s="195"/>
      <c r="H4" s="195"/>
      <c r="I4" s="195"/>
      <c r="J4" s="195"/>
      <c r="K4" s="195"/>
      <c r="L4" s="195"/>
      <c r="M4" s="18"/>
      <c r="O4" s="10"/>
      <c r="P4" s="10"/>
      <c r="Q4" s="10"/>
      <c r="R4" s="10"/>
      <c r="S4" s="10"/>
      <c r="T4" s="10"/>
      <c r="U4" s="10"/>
      <c r="V4" s="10"/>
      <c r="W4" s="10"/>
    </row>
    <row r="5" spans="1:23" s="10" customFormat="1" ht="22.9" customHeight="1">
      <c r="A5" s="146">
        <v>5</v>
      </c>
      <c r="B5" s="12"/>
      <c r="C5" s="44"/>
      <c r="D5" s="44"/>
      <c r="E5" s="44"/>
      <c r="F5" s="44"/>
      <c r="I5" s="29"/>
      <c r="L5" s="17"/>
      <c r="M5" s="18"/>
    </row>
    <row r="6" spans="1:23" ht="24">
      <c r="A6" s="146">
        <v>6</v>
      </c>
      <c r="C6" s="46" t="s">
        <v>52</v>
      </c>
      <c r="D6" s="147" t="s">
        <v>141</v>
      </c>
      <c r="E6" s="13"/>
      <c r="F6" s="6"/>
      <c r="G6" s="91" t="s">
        <v>9</v>
      </c>
      <c r="H6" s="184"/>
      <c r="I6" s="10"/>
      <c r="J6" s="10"/>
      <c r="L6" s="17"/>
      <c r="M6" s="18"/>
      <c r="O6" s="10"/>
      <c r="P6" s="10"/>
      <c r="Q6" s="10"/>
      <c r="R6" s="10"/>
      <c r="S6" s="10"/>
      <c r="T6" s="10"/>
      <c r="U6" s="10"/>
      <c r="V6" s="10"/>
      <c r="W6" s="10"/>
    </row>
    <row r="7" spans="1:23" ht="24">
      <c r="A7" s="146">
        <v>7</v>
      </c>
      <c r="C7" s="46" t="s">
        <v>53</v>
      </c>
      <c r="D7" s="183" t="s">
        <v>141</v>
      </c>
      <c r="E7" s="13"/>
      <c r="F7" s="6"/>
      <c r="G7" s="63" t="s">
        <v>8</v>
      </c>
      <c r="H7" s="184"/>
      <c r="I7" s="10"/>
      <c r="J7" s="10"/>
      <c r="K7" s="5"/>
      <c r="L7" s="18"/>
      <c r="M7" s="174"/>
      <c r="O7" s="10"/>
      <c r="P7" s="10"/>
      <c r="Q7" s="10"/>
      <c r="R7" s="10"/>
      <c r="S7" s="10"/>
      <c r="T7" s="10"/>
      <c r="U7" s="10"/>
      <c r="V7" s="10"/>
      <c r="W7" s="10"/>
    </row>
    <row r="8" spans="1:23" ht="15" customHeight="1">
      <c r="A8" s="146">
        <v>8</v>
      </c>
      <c r="C8" s="2" t="s">
        <v>19</v>
      </c>
      <c r="D8" s="192"/>
      <c r="E8" s="193"/>
      <c r="I8" s="10"/>
      <c r="J8" s="10"/>
      <c r="K8" s="79"/>
      <c r="L8" s="6"/>
      <c r="M8" s="18"/>
      <c r="O8" s="10"/>
      <c r="P8" s="10"/>
      <c r="Q8" s="10"/>
      <c r="R8" s="10"/>
      <c r="S8" s="10"/>
      <c r="T8" s="10"/>
      <c r="U8" s="10"/>
      <c r="V8" s="10"/>
      <c r="W8" s="10"/>
    </row>
    <row r="9" spans="1:23" ht="15" customHeight="1">
      <c r="A9" s="146">
        <v>9</v>
      </c>
      <c r="C9" s="6" t="s">
        <v>45</v>
      </c>
      <c r="D9" s="149"/>
      <c r="E9" s="36"/>
      <c r="M9" s="172"/>
      <c r="O9" s="10"/>
      <c r="P9" s="10"/>
    </row>
    <row r="10" spans="1:23" ht="15" customHeight="1">
      <c r="A10" s="146">
        <v>10</v>
      </c>
      <c r="C10" s="2" t="s">
        <v>131</v>
      </c>
      <c r="D10" s="149"/>
      <c r="E10" s="78" t="s">
        <v>129</v>
      </c>
      <c r="M10" s="172"/>
      <c r="P10" s="10"/>
      <c r="Q10" s="10"/>
      <c r="R10" s="10"/>
    </row>
    <row r="11" spans="1:23" ht="25.5">
      <c r="A11" s="146">
        <v>11</v>
      </c>
      <c r="C11" s="46" t="s">
        <v>114</v>
      </c>
      <c r="D11" s="183"/>
      <c r="E11" s="78" t="s">
        <v>129</v>
      </c>
      <c r="F11" s="6"/>
      <c r="G11" s="6"/>
      <c r="I11" s="10"/>
      <c r="J11" s="10"/>
      <c r="K11" s="5"/>
      <c r="L11" s="18"/>
      <c r="M11" s="174"/>
      <c r="O11" s="10"/>
      <c r="P11" s="10"/>
      <c r="Q11" s="10"/>
      <c r="R11" s="10"/>
      <c r="S11" s="10"/>
      <c r="T11" s="10"/>
      <c r="U11" s="10"/>
      <c r="V11" s="10"/>
      <c r="W11" s="10"/>
    </row>
    <row r="12" spans="1:23">
      <c r="A12" s="146">
        <v>12</v>
      </c>
      <c r="M12" s="172"/>
    </row>
    <row r="13" spans="1:23" ht="15.75">
      <c r="A13" s="146">
        <v>13</v>
      </c>
      <c r="B13" s="48">
        <v>1</v>
      </c>
      <c r="C13" s="49" t="s">
        <v>6</v>
      </c>
      <c r="M13" s="172"/>
      <c r="P13" s="1"/>
    </row>
    <row r="14" spans="1:23" ht="25.5">
      <c r="A14" s="146">
        <v>14</v>
      </c>
      <c r="B14" s="112" t="s">
        <v>105</v>
      </c>
      <c r="C14" s="109" t="s">
        <v>106</v>
      </c>
      <c r="D14" s="134" t="s">
        <v>127</v>
      </c>
      <c r="E14" s="130"/>
      <c r="M14" s="172"/>
      <c r="P14" s="1"/>
    </row>
    <row r="15" spans="1:23" ht="24">
      <c r="A15" s="146">
        <v>15</v>
      </c>
      <c r="C15" s="47" t="s">
        <v>46</v>
      </c>
      <c r="D15" s="181"/>
      <c r="E15" s="16"/>
      <c r="I15" s="10"/>
      <c r="J15" s="14"/>
      <c r="K15" s="10"/>
      <c r="M15" s="172"/>
    </row>
    <row r="16" spans="1:23" ht="24">
      <c r="A16" s="146">
        <v>16</v>
      </c>
      <c r="C16" s="46" t="s">
        <v>48</v>
      </c>
      <c r="D16" s="181"/>
      <c r="I16" s="10"/>
      <c r="J16" s="14"/>
      <c r="K16" s="10"/>
      <c r="M16" s="172"/>
    </row>
    <row r="17" spans="1:14">
      <c r="A17" s="146">
        <v>17</v>
      </c>
      <c r="C17" s="6" t="s">
        <v>47</v>
      </c>
      <c r="D17" s="181"/>
      <c r="I17" s="10"/>
      <c r="J17" s="15"/>
      <c r="K17" s="10"/>
      <c r="M17" s="172"/>
    </row>
    <row r="18" spans="1:14">
      <c r="A18" s="146">
        <v>18</v>
      </c>
      <c r="C18" t="s">
        <v>49</v>
      </c>
      <c r="D18" s="181"/>
      <c r="I18" s="10"/>
      <c r="J18" s="15"/>
      <c r="K18" s="10"/>
      <c r="M18" s="172"/>
    </row>
    <row r="19" spans="1:14">
      <c r="A19" s="146">
        <v>19</v>
      </c>
      <c r="C19" s="6" t="s">
        <v>50</v>
      </c>
      <c r="D19" s="181"/>
      <c r="I19" s="10"/>
      <c r="J19" s="15"/>
      <c r="K19" s="10"/>
      <c r="M19" s="172"/>
    </row>
    <row r="20" spans="1:14">
      <c r="A20" s="146">
        <v>20</v>
      </c>
      <c r="C20" t="s">
        <v>51</v>
      </c>
      <c r="D20" s="181"/>
      <c r="I20" s="10"/>
      <c r="J20" s="15"/>
      <c r="K20" s="10"/>
      <c r="M20" s="172"/>
    </row>
    <row r="21" spans="1:14">
      <c r="A21" s="146">
        <v>21</v>
      </c>
      <c r="C21" t="s">
        <v>11</v>
      </c>
      <c r="D21" s="138">
        <f>MIN(E38:L38)</f>
        <v>0</v>
      </c>
      <c r="E21" s="137"/>
      <c r="I21" s="10"/>
      <c r="J21" s="15"/>
      <c r="K21" s="10"/>
      <c r="M21" s="172"/>
    </row>
    <row r="22" spans="1:14">
      <c r="A22" s="146">
        <v>22</v>
      </c>
      <c r="C22" t="s">
        <v>10</v>
      </c>
      <c r="D22" s="138">
        <f>MAX(E39:L60)</f>
        <v>0</v>
      </c>
      <c r="E22" s="137"/>
      <c r="I22" s="10"/>
      <c r="J22" s="6"/>
      <c r="K22" s="10"/>
      <c r="M22" s="172"/>
    </row>
    <row r="23" spans="1:14" ht="19.899999999999999" customHeight="1">
      <c r="A23" s="146">
        <v>23</v>
      </c>
      <c r="D23" s="110"/>
      <c r="I23" s="10"/>
      <c r="J23" s="6"/>
      <c r="K23" s="10"/>
      <c r="M23" s="172"/>
    </row>
    <row r="24" spans="1:14" s="10" customFormat="1" ht="24.6" customHeight="1">
      <c r="A24" s="146">
        <v>24</v>
      </c>
      <c r="B24" s="109" t="s">
        <v>102</v>
      </c>
      <c r="C24" s="109" t="s">
        <v>108</v>
      </c>
      <c r="D24" s="79"/>
      <c r="E24" s="12"/>
      <c r="F24" s="12"/>
      <c r="G24" s="12"/>
      <c r="H24" s="12"/>
      <c r="I24" s="12"/>
      <c r="J24" s="12"/>
      <c r="K24" s="12"/>
      <c r="L24" s="12"/>
      <c r="M24" s="175"/>
    </row>
    <row r="25" spans="1:14" s="10" customFormat="1" ht="22.15" customHeight="1">
      <c r="A25" s="146">
        <v>25</v>
      </c>
      <c r="B25" s="51"/>
      <c r="C25" s="78" t="s">
        <v>124</v>
      </c>
      <c r="D25" s="180" t="s">
        <v>103</v>
      </c>
      <c r="E25" s="139" t="s">
        <v>130</v>
      </c>
      <c r="F25" s="12" t="s">
        <v>104</v>
      </c>
      <c r="G25" s="12"/>
      <c r="H25" s="12"/>
      <c r="I25" s="12"/>
      <c r="J25" s="12"/>
      <c r="K25" s="12"/>
      <c r="L25" s="12"/>
      <c r="M25" s="175"/>
    </row>
    <row r="26" spans="1:14" s="10" customFormat="1" ht="15" customHeight="1">
      <c r="A26" s="146">
        <v>26</v>
      </c>
      <c r="B26" s="51"/>
      <c r="C26" s="106"/>
      <c r="D26" s="151"/>
      <c r="E26" s="187"/>
      <c r="F26" s="153"/>
      <c r="G26" s="111"/>
      <c r="H26" s="111"/>
      <c r="I26" s="111"/>
      <c r="J26" s="111"/>
      <c r="K26" s="111"/>
      <c r="L26" s="104"/>
      <c r="M26" s="175"/>
      <c r="N26" s="10" t="s">
        <v>12</v>
      </c>
    </row>
    <row r="27" spans="1:14" s="10" customFormat="1" ht="15" customHeight="1">
      <c r="A27" s="146">
        <v>27</v>
      </c>
      <c r="B27" s="51"/>
      <c r="C27" s="106"/>
      <c r="D27" s="151"/>
      <c r="E27" s="152"/>
      <c r="F27" s="153"/>
      <c r="G27" s="111"/>
      <c r="H27" s="111"/>
      <c r="I27" s="111"/>
      <c r="J27" s="111"/>
      <c r="K27" s="111"/>
      <c r="L27" s="104"/>
      <c r="M27" s="175"/>
      <c r="N27" s="10" t="s">
        <v>132</v>
      </c>
    </row>
    <row r="28" spans="1:14" s="10" customFormat="1" ht="15" customHeight="1">
      <c r="A28" s="146">
        <v>28</v>
      </c>
      <c r="B28" s="51"/>
      <c r="C28" s="106"/>
      <c r="D28" s="151"/>
      <c r="E28" s="152"/>
      <c r="F28" s="153"/>
      <c r="G28" s="111"/>
      <c r="H28" s="111"/>
      <c r="I28" s="111"/>
      <c r="J28" s="111"/>
      <c r="K28" s="111"/>
      <c r="L28" s="104"/>
      <c r="M28" s="175"/>
      <c r="N28" s="10" t="s">
        <v>133</v>
      </c>
    </row>
    <row r="29" spans="1:14" s="10" customFormat="1" ht="15" customHeight="1">
      <c r="A29" s="146">
        <v>29</v>
      </c>
      <c r="B29" s="51"/>
      <c r="C29" s="106"/>
      <c r="D29" s="151"/>
      <c r="E29" s="152"/>
      <c r="F29" s="153"/>
      <c r="G29" s="111"/>
      <c r="H29" s="111"/>
      <c r="I29" s="111"/>
      <c r="J29" s="111"/>
      <c r="K29" s="111"/>
      <c r="L29" s="104"/>
      <c r="M29" s="175"/>
      <c r="N29" s="10" t="s">
        <v>134</v>
      </c>
    </row>
    <row r="30" spans="1:14" s="10" customFormat="1" ht="15" customHeight="1">
      <c r="A30" s="146">
        <v>30</v>
      </c>
      <c r="B30" s="51"/>
      <c r="C30" s="106"/>
      <c r="D30" s="116"/>
      <c r="E30" s="117"/>
      <c r="F30" s="118"/>
      <c r="G30" s="118"/>
      <c r="H30" s="118"/>
      <c r="I30" s="118"/>
      <c r="J30" s="118"/>
      <c r="K30" s="118"/>
      <c r="L30" s="12"/>
      <c r="M30" s="175"/>
    </row>
    <row r="31" spans="1:14" ht="19.899999999999999" hidden="1" customHeight="1" thickTop="1">
      <c r="A31" s="146">
        <v>31</v>
      </c>
      <c r="B31" s="75" t="s">
        <v>88</v>
      </c>
      <c r="C31" s="83" t="s">
        <v>111</v>
      </c>
      <c r="D31" s="114">
        <f>SUM(D26:D30)</f>
        <v>0</v>
      </c>
      <c r="E31" s="84">
        <f>(DAY(D31)*24+HOUR(D31)+1/60*MINUTE(D31))</f>
        <v>0</v>
      </c>
      <c r="I31" s="10"/>
      <c r="J31" s="6"/>
      <c r="K31" s="10"/>
      <c r="M31" s="172"/>
    </row>
    <row r="32" spans="1:14" ht="26.45" customHeight="1">
      <c r="A32" s="146">
        <v>32</v>
      </c>
      <c r="B32" s="48">
        <v>2</v>
      </c>
      <c r="C32" s="50" t="s">
        <v>15</v>
      </c>
      <c r="D32" s="21"/>
      <c r="M32" s="172"/>
    </row>
    <row r="33" spans="1:13" ht="26.45" customHeight="1">
      <c r="A33" s="146">
        <v>33</v>
      </c>
      <c r="B33" s="108" t="s">
        <v>101</v>
      </c>
      <c r="C33" s="109" t="s">
        <v>107</v>
      </c>
      <c r="D33" s="21"/>
      <c r="M33" s="172"/>
    </row>
    <row r="34" spans="1:13" ht="18" customHeight="1">
      <c r="A34" s="146">
        <v>34</v>
      </c>
      <c r="B34" s="51"/>
      <c r="C34" s="22"/>
      <c r="D34" s="54" t="s">
        <v>56</v>
      </c>
      <c r="M34" s="172"/>
    </row>
    <row r="35" spans="1:13" s="10" customFormat="1">
      <c r="A35" s="146">
        <v>35</v>
      </c>
      <c r="B35" s="12"/>
      <c r="C35" s="23" t="s">
        <v>100</v>
      </c>
      <c r="D35" s="54"/>
      <c r="E35" s="154" t="s">
        <v>99</v>
      </c>
      <c r="F35" s="155" t="s">
        <v>137</v>
      </c>
      <c r="G35" s="155" t="s">
        <v>139</v>
      </c>
      <c r="H35" s="155" t="s">
        <v>140</v>
      </c>
      <c r="I35" s="155" t="s">
        <v>138</v>
      </c>
      <c r="J35" s="155"/>
      <c r="K35" s="155"/>
      <c r="L35" s="155"/>
      <c r="M35" s="175"/>
    </row>
    <row r="36" spans="1:13" s="10" customFormat="1">
      <c r="A36" s="146">
        <v>36</v>
      </c>
      <c r="B36" s="12"/>
      <c r="C36" s="23" t="s">
        <v>18</v>
      </c>
      <c r="D36" s="58"/>
      <c r="E36" s="156"/>
      <c r="F36" s="157"/>
      <c r="G36" s="157"/>
      <c r="H36" s="157"/>
      <c r="I36" s="157"/>
      <c r="J36" s="157"/>
      <c r="K36" s="157"/>
      <c r="L36" s="157"/>
      <c r="M36" s="175"/>
    </row>
    <row r="37" spans="1:13" s="10" customFormat="1" ht="5.45" customHeight="1">
      <c r="A37" s="146">
        <v>37</v>
      </c>
      <c r="B37" s="12"/>
      <c r="C37" s="22"/>
      <c r="D37" s="55"/>
      <c r="M37" s="175"/>
    </row>
    <row r="38" spans="1:13" s="10" customFormat="1" ht="25.5">
      <c r="A38" s="146">
        <v>38</v>
      </c>
      <c r="B38" s="12"/>
      <c r="C38" s="23" t="s">
        <v>13</v>
      </c>
      <c r="D38" s="133" t="s">
        <v>125</v>
      </c>
      <c r="E38" s="182"/>
      <c r="F38" s="182"/>
      <c r="G38" s="182"/>
      <c r="H38" s="150"/>
      <c r="I38" s="150"/>
      <c r="J38" s="150"/>
      <c r="K38" s="150"/>
      <c r="L38" s="159"/>
      <c r="M38" s="175"/>
    </row>
    <row r="39" spans="1:13" s="10" customFormat="1">
      <c r="A39" s="146">
        <v>39</v>
      </c>
      <c r="B39" s="12"/>
      <c r="C39" s="23" t="s">
        <v>14</v>
      </c>
      <c r="D39" s="58"/>
      <c r="E39" s="182"/>
      <c r="F39" s="182"/>
      <c r="G39" s="182"/>
      <c r="H39" s="150"/>
      <c r="I39" s="150"/>
      <c r="J39" s="182"/>
      <c r="K39" s="150"/>
      <c r="L39" s="160"/>
      <c r="M39" s="175"/>
    </row>
    <row r="40" spans="1:13" s="10" customFormat="1" ht="6.6" customHeight="1">
      <c r="A40" s="146">
        <v>40</v>
      </c>
      <c r="B40" s="12"/>
      <c r="D40" s="56"/>
      <c r="M40" s="175"/>
    </row>
    <row r="41" spans="1:13" s="10" customFormat="1">
      <c r="A41" s="146">
        <v>41</v>
      </c>
      <c r="B41" s="12"/>
      <c r="C41" s="23" t="s">
        <v>13</v>
      </c>
      <c r="D41" s="58"/>
      <c r="E41" s="185"/>
      <c r="F41" s="185"/>
      <c r="G41" s="182"/>
      <c r="H41" s="150"/>
      <c r="I41" s="150"/>
      <c r="J41" s="150"/>
      <c r="K41" s="150"/>
      <c r="L41" s="160"/>
      <c r="M41" s="175"/>
    </row>
    <row r="42" spans="1:13" s="10" customFormat="1">
      <c r="A42" s="146">
        <v>42</v>
      </c>
      <c r="B42" s="53"/>
      <c r="C42" s="23" t="s">
        <v>14</v>
      </c>
      <c r="D42" s="58"/>
      <c r="E42" s="182"/>
      <c r="F42" s="182"/>
      <c r="G42" s="182"/>
      <c r="H42" s="150"/>
      <c r="I42" s="150"/>
      <c r="J42" s="150"/>
      <c r="K42" s="150"/>
      <c r="L42" s="160"/>
      <c r="M42" s="175"/>
    </row>
    <row r="43" spans="1:13" s="10" customFormat="1" ht="6.6" customHeight="1">
      <c r="A43" s="146">
        <v>43</v>
      </c>
      <c r="B43" s="12"/>
      <c r="D43" s="56"/>
      <c r="M43" s="175"/>
    </row>
    <row r="44" spans="1:13" s="10" customFormat="1">
      <c r="A44" s="146">
        <v>44</v>
      </c>
      <c r="B44" s="12"/>
      <c r="C44" s="23" t="s">
        <v>13</v>
      </c>
      <c r="D44" s="58"/>
      <c r="E44" s="158"/>
      <c r="F44" s="158"/>
      <c r="G44" s="158"/>
      <c r="H44" s="150"/>
      <c r="I44" s="150"/>
      <c r="J44" s="150"/>
      <c r="K44" s="150"/>
      <c r="L44" s="160"/>
      <c r="M44" s="175"/>
    </row>
    <row r="45" spans="1:13" s="10" customFormat="1">
      <c r="A45" s="146">
        <v>45</v>
      </c>
      <c r="B45" s="53"/>
      <c r="C45" s="23" t="s">
        <v>14</v>
      </c>
      <c r="D45" s="58"/>
      <c r="E45" s="150"/>
      <c r="F45" s="150"/>
      <c r="G45" s="150"/>
      <c r="H45" s="150"/>
      <c r="I45" s="150"/>
      <c r="J45" s="150"/>
      <c r="K45" s="150"/>
      <c r="L45" s="160"/>
      <c r="M45" s="175"/>
    </row>
    <row r="46" spans="1:13" s="10" customFormat="1" ht="6.6" customHeight="1">
      <c r="A46" s="146">
        <v>46</v>
      </c>
      <c r="B46" s="12"/>
      <c r="D46" s="56"/>
      <c r="M46" s="175"/>
    </row>
    <row r="47" spans="1:13" s="10" customFormat="1">
      <c r="A47" s="146">
        <v>47</v>
      </c>
      <c r="B47" s="12"/>
      <c r="C47" s="23" t="s">
        <v>13</v>
      </c>
      <c r="D47" s="58"/>
      <c r="E47" s="158"/>
      <c r="F47" s="150"/>
      <c r="G47" s="150"/>
      <c r="H47" s="150"/>
      <c r="I47" s="150"/>
      <c r="J47" s="150"/>
      <c r="K47" s="150"/>
      <c r="L47" s="160"/>
      <c r="M47" s="175"/>
    </row>
    <row r="48" spans="1:13" s="10" customFormat="1">
      <c r="A48" s="146">
        <v>48</v>
      </c>
      <c r="B48" s="53"/>
      <c r="C48" s="23" t="s">
        <v>14</v>
      </c>
      <c r="D48" s="58"/>
      <c r="E48" s="158"/>
      <c r="F48" s="150"/>
      <c r="G48" s="150"/>
      <c r="H48" s="150"/>
      <c r="I48" s="150"/>
      <c r="J48" s="150"/>
      <c r="K48" s="150"/>
      <c r="L48" s="160"/>
      <c r="M48" s="175"/>
    </row>
    <row r="49" spans="1:13" s="10" customFormat="1" ht="6.6" customHeight="1">
      <c r="A49" s="146">
        <v>49</v>
      </c>
      <c r="B49" s="12"/>
      <c r="D49" s="56"/>
      <c r="M49" s="175"/>
    </row>
    <row r="50" spans="1:13" s="10" customFormat="1">
      <c r="A50" s="146">
        <v>50</v>
      </c>
      <c r="B50" s="12"/>
      <c r="C50" s="23" t="s">
        <v>13</v>
      </c>
      <c r="D50" s="58"/>
      <c r="E50" s="158"/>
      <c r="F50" s="158"/>
      <c r="G50" s="150"/>
      <c r="H50" s="150"/>
      <c r="I50" s="150"/>
      <c r="J50" s="150"/>
      <c r="K50" s="150"/>
      <c r="L50" s="160"/>
      <c r="M50" s="175"/>
    </row>
    <row r="51" spans="1:13" s="10" customFormat="1">
      <c r="A51" s="146">
        <v>51</v>
      </c>
      <c r="B51" s="53"/>
      <c r="C51" s="23" t="s">
        <v>14</v>
      </c>
      <c r="D51" s="58"/>
      <c r="E51" s="150"/>
      <c r="F51" s="150"/>
      <c r="G51" s="150"/>
      <c r="H51" s="150"/>
      <c r="I51" s="150"/>
      <c r="J51" s="150"/>
      <c r="K51" s="150"/>
      <c r="L51" s="160"/>
      <c r="M51" s="175"/>
    </row>
    <row r="52" spans="1:13" s="10" customFormat="1" ht="6.6" customHeight="1">
      <c r="A52" s="146">
        <v>52</v>
      </c>
      <c r="B52" s="12"/>
      <c r="D52" s="56"/>
      <c r="M52" s="175"/>
    </row>
    <row r="53" spans="1:13" s="10" customFormat="1">
      <c r="A53" s="146">
        <v>53</v>
      </c>
      <c r="B53" s="12"/>
      <c r="C53" s="23" t="s">
        <v>13</v>
      </c>
      <c r="D53" s="58"/>
      <c r="E53" s="158"/>
      <c r="F53" s="150"/>
      <c r="G53" s="150"/>
      <c r="H53" s="150"/>
      <c r="I53" s="150"/>
      <c r="J53" s="150"/>
      <c r="K53" s="150"/>
      <c r="L53" s="160"/>
      <c r="M53" s="175"/>
    </row>
    <row r="54" spans="1:13" s="10" customFormat="1">
      <c r="A54" s="146">
        <v>54</v>
      </c>
      <c r="B54" s="53"/>
      <c r="C54" s="23" t="s">
        <v>14</v>
      </c>
      <c r="D54" s="58"/>
      <c r="E54" s="150"/>
      <c r="F54" s="150"/>
      <c r="G54" s="150"/>
      <c r="H54" s="150"/>
      <c r="I54" s="150"/>
      <c r="J54" s="150"/>
      <c r="K54" s="150"/>
      <c r="L54" s="160"/>
      <c r="M54" s="175"/>
    </row>
    <row r="55" spans="1:13" s="10" customFormat="1" ht="6.6" customHeight="1">
      <c r="A55" s="146">
        <v>55</v>
      </c>
      <c r="B55" s="12"/>
      <c r="D55" s="56"/>
      <c r="M55" s="175"/>
    </row>
    <row r="56" spans="1:13" s="10" customFormat="1">
      <c r="A56" s="146">
        <v>56</v>
      </c>
      <c r="B56" s="12"/>
      <c r="C56" s="23" t="s">
        <v>13</v>
      </c>
      <c r="D56" s="58"/>
      <c r="E56" s="158"/>
      <c r="F56" s="150"/>
      <c r="G56" s="150"/>
      <c r="H56" s="150"/>
      <c r="I56" s="150"/>
      <c r="J56" s="150"/>
      <c r="K56" s="150"/>
      <c r="L56" s="160"/>
      <c r="M56" s="175"/>
    </row>
    <row r="57" spans="1:13" s="10" customFormat="1">
      <c r="A57" s="146">
        <v>57</v>
      </c>
      <c r="B57" s="53"/>
      <c r="C57" s="23" t="s">
        <v>14</v>
      </c>
      <c r="D57" s="58"/>
      <c r="E57" s="150"/>
      <c r="F57" s="150"/>
      <c r="G57" s="150"/>
      <c r="H57" s="150"/>
      <c r="I57" s="150"/>
      <c r="J57" s="150"/>
      <c r="K57" s="150"/>
      <c r="L57" s="160"/>
      <c r="M57" s="175"/>
    </row>
    <row r="58" spans="1:13" s="10" customFormat="1" ht="6.6" customHeight="1">
      <c r="A58" s="146">
        <v>58</v>
      </c>
      <c r="B58" s="12"/>
      <c r="D58" s="56"/>
      <c r="M58" s="175"/>
    </row>
    <row r="59" spans="1:13" s="10" customFormat="1">
      <c r="A59" s="146">
        <v>59</v>
      </c>
      <c r="B59" s="12"/>
      <c r="C59" s="23" t="s">
        <v>13</v>
      </c>
      <c r="D59" s="58"/>
      <c r="E59" s="150"/>
      <c r="F59" s="150"/>
      <c r="G59" s="150"/>
      <c r="H59" s="150"/>
      <c r="I59" s="150"/>
      <c r="J59" s="150"/>
      <c r="K59" s="150"/>
      <c r="L59" s="160"/>
      <c r="M59" s="175"/>
    </row>
    <row r="60" spans="1:13" s="10" customFormat="1">
      <c r="A60" s="146">
        <v>60</v>
      </c>
      <c r="B60" s="53"/>
      <c r="C60" s="23" t="s">
        <v>14</v>
      </c>
      <c r="D60" s="58"/>
      <c r="E60" s="150"/>
      <c r="F60" s="150"/>
      <c r="G60" s="150"/>
      <c r="H60" s="150"/>
      <c r="I60" s="150"/>
      <c r="J60" s="150"/>
      <c r="K60" s="150"/>
      <c r="L60" s="160"/>
      <c r="M60" s="175"/>
    </row>
    <row r="61" spans="1:13" s="10" customFormat="1" ht="21" customHeight="1">
      <c r="A61" s="146">
        <v>61</v>
      </c>
      <c r="B61" s="12"/>
      <c r="C61" s="23"/>
      <c r="D61" s="60"/>
      <c r="M61" s="175"/>
    </row>
    <row r="62" spans="1:13" s="122" customFormat="1" ht="15" hidden="1">
      <c r="A62" s="146">
        <v>62</v>
      </c>
      <c r="B62" s="75" t="s">
        <v>88</v>
      </c>
      <c r="C62" s="119" t="s">
        <v>113</v>
      </c>
      <c r="D62" s="120"/>
      <c r="E62" s="121">
        <f t="shared" ref="E62:L62" si="0">(E39-E38)+(E42-E41)+(E45-E44)+(E48-E47)+(E51-E50)+(E54-E53)+(E57-E56)+(E60-E59)</f>
        <v>0</v>
      </c>
      <c r="F62" s="121">
        <f>(F39-F38)+(F42-F41)+(F45-F44)+(F48-F47)+(F51-F50)+(F54-F53)+(F57-F56)+(F60-F59)</f>
        <v>0</v>
      </c>
      <c r="G62" s="121">
        <f t="shared" si="0"/>
        <v>0</v>
      </c>
      <c r="H62" s="121">
        <f t="shared" si="0"/>
        <v>0</v>
      </c>
      <c r="I62" s="121">
        <f t="shared" si="0"/>
        <v>0</v>
      </c>
      <c r="J62" s="121">
        <f t="shared" si="0"/>
        <v>0</v>
      </c>
      <c r="K62" s="121">
        <f t="shared" si="0"/>
        <v>0</v>
      </c>
      <c r="L62" s="121">
        <f t="shared" si="0"/>
        <v>0</v>
      </c>
      <c r="M62" s="176"/>
    </row>
    <row r="63" spans="1:13" s="10" customFormat="1">
      <c r="A63" s="146">
        <v>63</v>
      </c>
      <c r="B63" s="12"/>
      <c r="C63" s="23" t="s">
        <v>54</v>
      </c>
      <c r="D63" s="74">
        <f>IF((ISBLANK(E63)=FALSE),SUM(E63:L63),0)</f>
        <v>0</v>
      </c>
      <c r="E63" s="72">
        <f t="shared" ref="E63:L63" si="1">DAY(E62)*24+HOUR(E62)+1/60*(MINUTE(E62))</f>
        <v>0</v>
      </c>
      <c r="F63" s="76">
        <f t="shared" si="1"/>
        <v>0</v>
      </c>
      <c r="G63" s="76">
        <f t="shared" si="1"/>
        <v>0</v>
      </c>
      <c r="H63" s="76">
        <f t="shared" si="1"/>
        <v>0</v>
      </c>
      <c r="I63" s="76">
        <f t="shared" si="1"/>
        <v>0</v>
      </c>
      <c r="J63" s="76">
        <f t="shared" si="1"/>
        <v>0</v>
      </c>
      <c r="K63" s="76">
        <f t="shared" si="1"/>
        <v>0</v>
      </c>
      <c r="L63" s="76">
        <f t="shared" si="1"/>
        <v>0</v>
      </c>
      <c r="M63" s="175"/>
    </row>
    <row r="64" spans="1:13" s="10" customFormat="1" ht="19.899999999999999" customHeight="1">
      <c r="A64" s="146">
        <v>64</v>
      </c>
      <c r="B64" s="12"/>
      <c r="C64" s="23"/>
      <c r="D64" s="58"/>
      <c r="E64" s="73"/>
      <c r="F64" s="73"/>
      <c r="G64" s="73"/>
      <c r="H64" s="73"/>
      <c r="I64" s="73"/>
      <c r="M64" s="175"/>
    </row>
    <row r="65" spans="1:13" s="10" customFormat="1" ht="18" customHeight="1">
      <c r="A65" s="146">
        <v>65</v>
      </c>
      <c r="B65" s="12"/>
      <c r="C65" s="23" t="s">
        <v>55</v>
      </c>
      <c r="D65" s="59">
        <f>SUM(E65:L65)</f>
        <v>0</v>
      </c>
      <c r="E65" s="161"/>
      <c r="F65" s="149"/>
      <c r="G65" s="149"/>
      <c r="H65" s="149"/>
      <c r="I65" s="149"/>
      <c r="J65" s="149"/>
      <c r="K65" s="149"/>
      <c r="L65" s="149"/>
      <c r="M65" s="175"/>
    </row>
    <row r="66" spans="1:13" s="10" customFormat="1" ht="15.6" customHeight="1">
      <c r="A66" s="146">
        <v>66</v>
      </c>
      <c r="B66" s="12"/>
      <c r="C66" s="135" t="s">
        <v>128</v>
      </c>
      <c r="D66" s="136"/>
      <c r="M66" s="175"/>
    </row>
    <row r="67" spans="1:13" s="10" customFormat="1" ht="18" customHeight="1">
      <c r="A67" s="146">
        <v>67</v>
      </c>
      <c r="B67" s="12"/>
      <c r="C67" s="23"/>
      <c r="D67" s="53"/>
      <c r="M67" s="175"/>
    </row>
    <row r="68" spans="1:13" s="10" customFormat="1" ht="33" customHeight="1">
      <c r="A68" s="146">
        <v>68</v>
      </c>
      <c r="B68" s="51" t="s">
        <v>57</v>
      </c>
      <c r="C68" s="22" t="s">
        <v>71</v>
      </c>
      <c r="D68" s="79"/>
      <c r="E68" s="12"/>
      <c r="F68" s="12"/>
      <c r="G68" s="12"/>
      <c r="H68" s="12"/>
      <c r="I68" s="12"/>
      <c r="J68" s="12"/>
      <c r="K68" s="12"/>
      <c r="L68" s="12"/>
      <c r="M68" s="175"/>
    </row>
    <row r="69" spans="1:13" s="10" customFormat="1" ht="22.15" customHeight="1">
      <c r="A69" s="146">
        <v>69</v>
      </c>
      <c r="B69" s="51"/>
      <c r="C69" s="78" t="s">
        <v>110</v>
      </c>
      <c r="D69" s="79"/>
      <c r="E69" s="12"/>
      <c r="F69" s="12"/>
      <c r="G69" s="12"/>
      <c r="H69" s="12"/>
      <c r="I69" s="12"/>
      <c r="J69" s="12"/>
      <c r="K69" s="12"/>
      <c r="L69" s="12"/>
      <c r="M69" s="175"/>
    </row>
    <row r="70" spans="1:13" s="10" customFormat="1" ht="22.15" customHeight="1">
      <c r="A70" s="146">
        <v>70</v>
      </c>
      <c r="B70" s="51"/>
      <c r="C70" s="43" t="s">
        <v>126</v>
      </c>
      <c r="D70" s="79"/>
      <c r="E70" s="12"/>
      <c r="F70" s="12"/>
      <c r="G70" s="12"/>
      <c r="H70" s="12"/>
      <c r="I70" s="12"/>
      <c r="J70" s="12"/>
      <c r="K70" s="12"/>
      <c r="L70" s="12"/>
      <c r="M70" s="175"/>
    </row>
    <row r="71" spans="1:13" s="63" customFormat="1" ht="18.600000000000001" customHeight="1">
      <c r="A71" s="146">
        <v>71</v>
      </c>
      <c r="B71" s="61"/>
      <c r="C71" s="64" t="s">
        <v>109</v>
      </c>
      <c r="D71" s="64" t="s">
        <v>56</v>
      </c>
      <c r="E71" s="62" t="str">
        <f t="shared" ref="E71:L71" si="2">E$35</f>
        <v>P1</v>
      </c>
      <c r="F71" s="62" t="str">
        <f t="shared" si="2"/>
        <v>P2</v>
      </c>
      <c r="G71" s="62" t="str">
        <f t="shared" si="2"/>
        <v>p4</v>
      </c>
      <c r="H71" s="62" t="str">
        <f t="shared" si="2"/>
        <v>p3</v>
      </c>
      <c r="I71" s="62" t="str">
        <f t="shared" si="2"/>
        <v>Seconde part P1</v>
      </c>
      <c r="J71" s="62">
        <f t="shared" si="2"/>
        <v>0</v>
      </c>
      <c r="K71" s="62">
        <f t="shared" si="2"/>
        <v>0</v>
      </c>
      <c r="L71" s="62">
        <f t="shared" si="2"/>
        <v>0</v>
      </c>
      <c r="M71" s="177"/>
    </row>
    <row r="72" spans="1:13">
      <c r="A72" s="146">
        <v>72</v>
      </c>
      <c r="C72" s="19" t="s">
        <v>58</v>
      </c>
      <c r="D72" s="57">
        <f>SUM(E72:L72)</f>
        <v>0</v>
      </c>
      <c r="E72" s="162"/>
      <c r="F72" s="162"/>
      <c r="G72" s="162"/>
      <c r="H72" s="151"/>
      <c r="I72" s="151"/>
      <c r="J72" s="151"/>
      <c r="K72" s="151"/>
      <c r="L72" s="151"/>
      <c r="M72" s="172"/>
    </row>
    <row r="73" spans="1:13" s="10" customFormat="1" hidden="1">
      <c r="A73" s="146">
        <v>73</v>
      </c>
      <c r="B73" s="75" t="s">
        <v>88</v>
      </c>
      <c r="C73" s="19"/>
      <c r="D73" s="145"/>
      <c r="E73" s="163"/>
      <c r="F73" s="163"/>
      <c r="G73" s="163"/>
      <c r="H73" s="164"/>
      <c r="I73" s="164"/>
      <c r="J73" s="164"/>
      <c r="K73" s="164"/>
      <c r="L73" s="164"/>
      <c r="M73" s="175"/>
    </row>
    <row r="74" spans="1:13">
      <c r="A74" s="146">
        <v>74</v>
      </c>
      <c r="C74" s="19" t="s">
        <v>59</v>
      </c>
      <c r="D74" s="57">
        <f>SUM(E74:L74)</f>
        <v>0</v>
      </c>
      <c r="E74" s="162"/>
      <c r="F74" s="162"/>
      <c r="G74" s="162"/>
      <c r="H74" s="151"/>
      <c r="I74" s="151"/>
      <c r="J74" s="151"/>
      <c r="K74" s="151"/>
      <c r="L74" s="151"/>
      <c r="M74" s="172"/>
    </row>
    <row r="75" spans="1:13" s="10" customFormat="1" hidden="1">
      <c r="A75" s="146">
        <v>75</v>
      </c>
      <c r="B75" s="75" t="s">
        <v>88</v>
      </c>
      <c r="C75" s="19"/>
      <c r="D75" s="145"/>
      <c r="E75" s="163"/>
      <c r="F75" s="163"/>
      <c r="G75" s="163"/>
      <c r="H75" s="164"/>
      <c r="I75" s="164"/>
      <c r="J75" s="164"/>
      <c r="K75" s="164"/>
      <c r="L75" s="164"/>
      <c r="M75" s="175"/>
    </row>
    <row r="76" spans="1:13">
      <c r="A76" s="146">
        <v>76</v>
      </c>
      <c r="C76" s="8" t="s">
        <v>60</v>
      </c>
      <c r="D76" s="57">
        <f>SUM(E76:L76)</f>
        <v>0</v>
      </c>
      <c r="E76" s="162"/>
      <c r="F76" s="162"/>
      <c r="G76" s="162"/>
      <c r="H76" s="151"/>
      <c r="I76" s="151"/>
      <c r="J76" s="151"/>
      <c r="K76" s="151"/>
      <c r="L76" s="151"/>
      <c r="M76" s="172"/>
    </row>
    <row r="77" spans="1:13" s="10" customFormat="1" hidden="1">
      <c r="A77" s="146">
        <v>77</v>
      </c>
      <c r="B77" s="75" t="s">
        <v>88</v>
      </c>
      <c r="C77" s="11"/>
      <c r="D77" s="145"/>
      <c r="E77" s="163"/>
      <c r="F77" s="163"/>
      <c r="G77" s="163"/>
      <c r="H77" s="164"/>
      <c r="I77" s="164"/>
      <c r="J77" s="164"/>
      <c r="K77" s="164"/>
      <c r="L77" s="164"/>
      <c r="M77" s="175"/>
    </row>
    <row r="78" spans="1:13">
      <c r="A78" s="146">
        <v>78</v>
      </c>
      <c r="C78" s="19" t="s">
        <v>61</v>
      </c>
      <c r="D78" s="57">
        <f>SUM(E78:L78)</f>
        <v>0</v>
      </c>
      <c r="E78" s="162"/>
      <c r="F78" s="162"/>
      <c r="G78" s="162"/>
      <c r="H78" s="151"/>
      <c r="I78" s="151"/>
      <c r="J78" s="151"/>
      <c r="K78" s="151"/>
      <c r="L78" s="151"/>
      <c r="M78" s="172"/>
    </row>
    <row r="79" spans="1:13" s="10" customFormat="1" hidden="1">
      <c r="A79" s="146">
        <v>79</v>
      </c>
      <c r="B79" s="75" t="s">
        <v>88</v>
      </c>
      <c r="C79" s="19"/>
      <c r="D79" s="145"/>
      <c r="E79" s="164"/>
      <c r="F79" s="164"/>
      <c r="G79" s="164"/>
      <c r="H79" s="164"/>
      <c r="I79" s="164"/>
      <c r="J79" s="164"/>
      <c r="K79" s="164"/>
      <c r="L79" s="164"/>
      <c r="M79" s="175"/>
    </row>
    <row r="80" spans="1:13">
      <c r="A80" s="146">
        <v>80</v>
      </c>
      <c r="C80" s="8" t="s">
        <v>62</v>
      </c>
      <c r="D80" s="57">
        <f>SUM(E80:L80)</f>
        <v>0</v>
      </c>
      <c r="E80" s="151"/>
      <c r="F80" s="151"/>
      <c r="G80" s="151"/>
      <c r="H80" s="151"/>
      <c r="I80" s="151"/>
      <c r="J80" s="151"/>
      <c r="K80" s="151"/>
      <c r="L80" s="151"/>
      <c r="M80" s="172"/>
    </row>
    <row r="81" spans="1:13" s="10" customFormat="1" hidden="1">
      <c r="A81" s="146">
        <v>81</v>
      </c>
      <c r="B81" s="75" t="s">
        <v>88</v>
      </c>
      <c r="C81" s="11"/>
      <c r="D81" s="145"/>
      <c r="E81" s="164"/>
      <c r="F81" s="164"/>
      <c r="G81" s="164"/>
      <c r="H81" s="164"/>
      <c r="I81" s="164"/>
      <c r="J81" s="164"/>
      <c r="K81" s="164"/>
      <c r="L81" s="164"/>
      <c r="M81" s="175"/>
    </row>
    <row r="82" spans="1:13" ht="25.5">
      <c r="A82" s="146">
        <v>82</v>
      </c>
      <c r="C82" s="20" t="s">
        <v>63</v>
      </c>
      <c r="D82" s="57">
        <f>SUM(E82:L82)</f>
        <v>0</v>
      </c>
      <c r="E82" s="151"/>
      <c r="F82" s="151"/>
      <c r="G82" s="151"/>
      <c r="H82" s="151"/>
      <c r="I82" s="151"/>
      <c r="J82" s="151"/>
      <c r="K82" s="151"/>
      <c r="L82" s="151"/>
      <c r="M82" s="172"/>
    </row>
    <row r="83" spans="1:13" s="10" customFormat="1" hidden="1">
      <c r="A83" s="146">
        <v>83</v>
      </c>
      <c r="B83" s="75" t="s">
        <v>88</v>
      </c>
      <c r="C83" s="143"/>
      <c r="D83" s="144"/>
      <c r="E83" s="163"/>
      <c r="F83" s="164"/>
      <c r="G83" s="164"/>
      <c r="H83" s="164"/>
      <c r="I83" s="164"/>
      <c r="J83" s="164"/>
      <c r="K83" s="164"/>
      <c r="L83" s="164"/>
      <c r="M83" s="175"/>
    </row>
    <row r="84" spans="1:13" ht="13.5" thickBot="1">
      <c r="A84" s="146">
        <v>84</v>
      </c>
      <c r="C84" s="8" t="s">
        <v>64</v>
      </c>
      <c r="D84" s="67">
        <f>SUM(E84:L84)</f>
        <v>0</v>
      </c>
      <c r="E84" s="162"/>
      <c r="F84" s="151"/>
      <c r="G84" s="151"/>
      <c r="H84" s="151"/>
      <c r="I84" s="151"/>
      <c r="J84" s="151"/>
      <c r="K84" s="151"/>
      <c r="L84" s="151"/>
      <c r="M84" s="172"/>
    </row>
    <row r="85" spans="1:13" s="10" customFormat="1" ht="14.25" hidden="1" thickTop="1" thickBot="1">
      <c r="A85" s="146">
        <v>85</v>
      </c>
      <c r="B85" s="75" t="s">
        <v>88</v>
      </c>
      <c r="C85" s="11"/>
      <c r="D85" s="140"/>
      <c r="E85" s="141"/>
      <c r="F85" s="142"/>
      <c r="G85" s="142"/>
      <c r="H85" s="142"/>
      <c r="I85" s="142"/>
      <c r="J85" s="142"/>
      <c r="K85" s="142"/>
      <c r="L85" s="142"/>
      <c r="M85" s="175"/>
    </row>
    <row r="86" spans="1:13" ht="19.899999999999999" customHeight="1" thickTop="1">
      <c r="A86" s="146">
        <v>86</v>
      </c>
      <c r="C86" s="65" t="s">
        <v>16</v>
      </c>
      <c r="D86" s="66">
        <f t="shared" ref="D86:L86" si="3">SUM(D72:D85)</f>
        <v>0</v>
      </c>
      <c r="E86" s="82">
        <f t="shared" si="3"/>
        <v>0</v>
      </c>
      <c r="F86" s="80">
        <f t="shared" si="3"/>
        <v>0</v>
      </c>
      <c r="G86" s="80">
        <f t="shared" si="3"/>
        <v>0</v>
      </c>
      <c r="H86" s="80">
        <f t="shared" si="3"/>
        <v>0</v>
      </c>
      <c r="I86" s="80">
        <f t="shared" si="3"/>
        <v>0</v>
      </c>
      <c r="J86" s="80">
        <f t="shared" si="3"/>
        <v>0</v>
      </c>
      <c r="K86" s="80">
        <f t="shared" si="3"/>
        <v>0</v>
      </c>
      <c r="L86" s="80">
        <f t="shared" si="3"/>
        <v>0</v>
      </c>
      <c r="M86" s="172"/>
    </row>
    <row r="87" spans="1:13" ht="43.9" customHeight="1">
      <c r="A87" s="146">
        <v>87</v>
      </c>
      <c r="B87" s="4" t="s">
        <v>0</v>
      </c>
      <c r="C87" s="35" t="s">
        <v>41</v>
      </c>
      <c r="D87" s="113"/>
      <c r="E87" s="165"/>
      <c r="F87" s="166"/>
      <c r="G87" s="166"/>
      <c r="H87" s="166"/>
      <c r="I87" s="166"/>
      <c r="J87" s="166"/>
      <c r="K87" s="166"/>
      <c r="L87" s="166"/>
      <c r="M87" s="172"/>
    </row>
    <row r="88" spans="1:13" ht="19.899999999999999" customHeight="1">
      <c r="A88" s="146">
        <v>88</v>
      </c>
      <c r="C88" s="45"/>
      <c r="D88" s="6"/>
      <c r="E88" s="6"/>
      <c r="F88" s="6"/>
      <c r="G88" s="77"/>
      <c r="H88" s="2"/>
      <c r="I88" s="2"/>
      <c r="J88" s="2"/>
      <c r="K88" s="2"/>
      <c r="M88" s="172"/>
    </row>
    <row r="89" spans="1:13" s="10" customFormat="1" ht="37.9" customHeight="1">
      <c r="A89" s="146">
        <v>89</v>
      </c>
      <c r="B89" s="51" t="s">
        <v>73</v>
      </c>
      <c r="C89" s="22" t="s">
        <v>72</v>
      </c>
      <c r="D89" s="9"/>
      <c r="E89" s="12"/>
      <c r="F89" s="12"/>
      <c r="G89" s="12"/>
      <c r="H89" s="12"/>
      <c r="I89" s="12"/>
      <c r="J89" s="12"/>
      <c r="K89" s="12"/>
      <c r="L89" s="12"/>
      <c r="M89" s="175"/>
    </row>
    <row r="90" spans="1:13" s="10" customFormat="1" ht="22.15" customHeight="1">
      <c r="A90" s="146">
        <v>90</v>
      </c>
      <c r="B90" s="51"/>
      <c r="C90" s="43" t="s">
        <v>126</v>
      </c>
      <c r="D90" s="79"/>
      <c r="E90" s="12"/>
      <c r="F90" s="12"/>
      <c r="G90" s="12"/>
      <c r="H90" s="12"/>
      <c r="I90" s="12"/>
      <c r="J90" s="12"/>
      <c r="K90" s="12"/>
      <c r="L90" s="12"/>
      <c r="M90" s="175"/>
    </row>
    <row r="91" spans="1:13" s="63" customFormat="1" ht="18.600000000000001" customHeight="1">
      <c r="A91" s="146">
        <v>91</v>
      </c>
      <c r="B91" s="61"/>
      <c r="C91" s="64" t="s">
        <v>109</v>
      </c>
      <c r="D91" s="64" t="s">
        <v>56</v>
      </c>
      <c r="E91" s="62" t="str">
        <f t="shared" ref="E91:L91" si="4">E$35</f>
        <v>P1</v>
      </c>
      <c r="F91" s="62" t="str">
        <f t="shared" si="4"/>
        <v>P2</v>
      </c>
      <c r="G91" s="62" t="str">
        <f t="shared" si="4"/>
        <v>p4</v>
      </c>
      <c r="H91" s="62" t="str">
        <f t="shared" si="4"/>
        <v>p3</v>
      </c>
      <c r="I91" s="62" t="str">
        <f t="shared" si="4"/>
        <v>Seconde part P1</v>
      </c>
      <c r="J91" s="62">
        <f t="shared" si="4"/>
        <v>0</v>
      </c>
      <c r="K91" s="62">
        <f t="shared" si="4"/>
        <v>0</v>
      </c>
      <c r="L91" s="62">
        <f t="shared" si="4"/>
        <v>0</v>
      </c>
      <c r="M91" s="177"/>
    </row>
    <row r="92" spans="1:13">
      <c r="A92" s="146">
        <v>92</v>
      </c>
      <c r="C92" s="8" t="s">
        <v>65</v>
      </c>
      <c r="D92" s="57">
        <f>SUM(E92:L92)</f>
        <v>0</v>
      </c>
      <c r="E92" s="162"/>
      <c r="F92" s="151"/>
      <c r="G92" s="151"/>
      <c r="H92" s="151"/>
      <c r="I92" s="151"/>
      <c r="J92" s="151"/>
      <c r="K92" s="151"/>
      <c r="L92" s="151"/>
      <c r="M92" s="172"/>
    </row>
    <row r="93" spans="1:13" s="10" customFormat="1" hidden="1">
      <c r="A93" s="146">
        <v>93</v>
      </c>
      <c r="B93" s="75" t="s">
        <v>88</v>
      </c>
      <c r="C93" s="19"/>
      <c r="D93" s="145"/>
      <c r="E93" s="163"/>
      <c r="F93" s="164"/>
      <c r="G93" s="164"/>
      <c r="H93" s="164"/>
      <c r="I93" s="164"/>
      <c r="J93" s="164"/>
      <c r="K93" s="164"/>
      <c r="L93" s="164"/>
      <c r="M93" s="175"/>
    </row>
    <row r="94" spans="1:13">
      <c r="A94" s="146">
        <v>94</v>
      </c>
      <c r="C94" s="8" t="s">
        <v>66</v>
      </c>
      <c r="D94" s="57">
        <f>SUM(E94:L94)</f>
        <v>0</v>
      </c>
      <c r="E94" s="162"/>
      <c r="F94" s="151"/>
      <c r="G94" s="151"/>
      <c r="H94" s="151"/>
      <c r="I94" s="151"/>
      <c r="J94" s="151"/>
      <c r="K94" s="151"/>
      <c r="L94" s="151"/>
      <c r="M94" s="172"/>
    </row>
    <row r="95" spans="1:13" s="10" customFormat="1" hidden="1">
      <c r="A95" s="146">
        <v>95</v>
      </c>
      <c r="B95" s="75" t="s">
        <v>88</v>
      </c>
      <c r="C95" s="19"/>
      <c r="D95" s="145"/>
      <c r="E95" s="163"/>
      <c r="F95" s="164"/>
      <c r="G95" s="164"/>
      <c r="H95" s="164"/>
      <c r="I95" s="164"/>
      <c r="J95" s="164"/>
      <c r="K95" s="164"/>
      <c r="L95" s="164"/>
      <c r="M95" s="175"/>
    </row>
    <row r="96" spans="1:13">
      <c r="A96" s="146">
        <v>96</v>
      </c>
      <c r="C96" s="8" t="s">
        <v>67</v>
      </c>
      <c r="D96" s="57">
        <f>SUM(E96:L96)</f>
        <v>0</v>
      </c>
      <c r="E96" s="162"/>
      <c r="F96" s="151"/>
      <c r="G96" s="151"/>
      <c r="H96" s="151"/>
      <c r="I96" s="151"/>
      <c r="J96" s="151"/>
      <c r="K96" s="151"/>
      <c r="L96" s="151"/>
      <c r="M96" s="172"/>
    </row>
    <row r="97" spans="1:13" s="10" customFormat="1" hidden="1">
      <c r="A97" s="146">
        <v>97</v>
      </c>
      <c r="B97" s="75" t="s">
        <v>88</v>
      </c>
      <c r="C97" s="19"/>
      <c r="D97" s="145"/>
      <c r="E97" s="163"/>
      <c r="F97" s="164"/>
      <c r="G97" s="164"/>
      <c r="H97" s="164"/>
      <c r="I97" s="164"/>
      <c r="J97" s="164"/>
      <c r="K97" s="164"/>
      <c r="L97" s="164"/>
      <c r="M97" s="175"/>
    </row>
    <row r="98" spans="1:13">
      <c r="A98" s="146">
        <v>98</v>
      </c>
      <c r="C98" s="11" t="s">
        <v>68</v>
      </c>
      <c r="D98" s="57">
        <f>SUM(E98:L98)</f>
        <v>0</v>
      </c>
      <c r="E98" s="162"/>
      <c r="F98" s="151"/>
      <c r="G98" s="151"/>
      <c r="H98" s="151"/>
      <c r="I98" s="151"/>
      <c r="J98" s="151"/>
      <c r="K98" s="151"/>
      <c r="L98" s="151"/>
      <c r="M98" s="172"/>
    </row>
    <row r="99" spans="1:13" s="10" customFormat="1" hidden="1">
      <c r="A99" s="146">
        <v>99</v>
      </c>
      <c r="B99" s="75" t="s">
        <v>88</v>
      </c>
      <c r="C99" s="19"/>
      <c r="D99" s="145"/>
      <c r="E99" s="163"/>
      <c r="F99" s="164"/>
      <c r="G99" s="164"/>
      <c r="H99" s="164"/>
      <c r="I99" s="164"/>
      <c r="J99" s="164"/>
      <c r="K99" s="164"/>
      <c r="L99" s="164"/>
      <c r="M99" s="175"/>
    </row>
    <row r="100" spans="1:13" ht="25.5">
      <c r="A100" s="146">
        <v>100</v>
      </c>
      <c r="C100" s="20" t="s">
        <v>69</v>
      </c>
      <c r="D100" s="57">
        <f>SUM(E100:L100)</f>
        <v>0</v>
      </c>
      <c r="E100" s="162"/>
      <c r="F100" s="162"/>
      <c r="G100" s="162"/>
      <c r="H100" s="151"/>
      <c r="I100" s="151"/>
      <c r="J100" s="151"/>
      <c r="K100" s="151"/>
      <c r="L100" s="151"/>
      <c r="M100" s="172"/>
    </row>
    <row r="101" spans="1:13" s="10" customFormat="1" hidden="1">
      <c r="A101" s="146">
        <v>101</v>
      </c>
      <c r="B101" s="75" t="s">
        <v>88</v>
      </c>
      <c r="C101" s="19"/>
      <c r="D101" s="145"/>
      <c r="E101" s="163"/>
      <c r="F101" s="164"/>
      <c r="G101" s="164"/>
      <c r="H101" s="164"/>
      <c r="I101" s="164"/>
      <c r="J101" s="164"/>
      <c r="K101" s="164"/>
      <c r="L101" s="164"/>
      <c r="M101" s="175"/>
    </row>
    <row r="102" spans="1:13" ht="13.5" thickBot="1">
      <c r="A102" s="146">
        <v>102</v>
      </c>
      <c r="C102" s="19" t="s">
        <v>70</v>
      </c>
      <c r="D102" s="67">
        <f>SUM(E102:L102)</f>
        <v>0</v>
      </c>
      <c r="E102" s="162"/>
      <c r="F102" s="151"/>
      <c r="G102" s="151"/>
      <c r="H102" s="151"/>
      <c r="I102" s="151"/>
      <c r="J102" s="151"/>
      <c r="K102" s="151"/>
      <c r="L102" s="151"/>
      <c r="M102" s="172"/>
    </row>
    <row r="103" spans="1:13" s="10" customFormat="1" ht="14.25" hidden="1" thickTop="1" thickBot="1">
      <c r="A103" s="146">
        <v>103</v>
      </c>
      <c r="B103" s="75" t="s">
        <v>88</v>
      </c>
      <c r="C103" s="19"/>
      <c r="D103" s="145"/>
      <c r="E103" s="141"/>
      <c r="F103" s="142"/>
      <c r="G103" s="142"/>
      <c r="H103" s="142"/>
      <c r="I103" s="142"/>
      <c r="J103" s="142"/>
      <c r="K103" s="142"/>
      <c r="L103" s="142"/>
      <c r="M103" s="175"/>
    </row>
    <row r="104" spans="1:13" ht="19.899999999999999" customHeight="1" thickTop="1">
      <c r="A104" s="146">
        <v>104</v>
      </c>
      <c r="C104" s="65" t="s">
        <v>17</v>
      </c>
      <c r="D104" s="66">
        <f t="shared" ref="D104:L104" si="5">SUM(D92:D102)</f>
        <v>0</v>
      </c>
      <c r="E104" s="81">
        <f t="shared" si="5"/>
        <v>0</v>
      </c>
      <c r="F104" s="80">
        <f t="shared" si="5"/>
        <v>0</v>
      </c>
      <c r="G104" s="80">
        <f t="shared" si="5"/>
        <v>0</v>
      </c>
      <c r="H104" s="80">
        <f t="shared" si="5"/>
        <v>0</v>
      </c>
      <c r="I104" s="80">
        <f t="shared" si="5"/>
        <v>0</v>
      </c>
      <c r="J104" s="80">
        <f t="shared" si="5"/>
        <v>0</v>
      </c>
      <c r="K104" s="80">
        <f t="shared" si="5"/>
        <v>0</v>
      </c>
      <c r="L104" s="80">
        <f t="shared" si="5"/>
        <v>0</v>
      </c>
      <c r="M104" s="172"/>
    </row>
    <row r="105" spans="1:13" ht="27.6" customHeight="1">
      <c r="A105" s="146">
        <v>105</v>
      </c>
      <c r="B105" s="4" t="s">
        <v>0</v>
      </c>
      <c r="C105" s="35" t="s">
        <v>41</v>
      </c>
      <c r="D105" s="113"/>
      <c r="E105" s="165"/>
      <c r="F105" s="166"/>
      <c r="G105" s="166"/>
      <c r="H105" s="166"/>
      <c r="I105" s="166"/>
      <c r="J105" s="166"/>
      <c r="K105" s="166"/>
      <c r="L105" s="166"/>
      <c r="M105" s="172"/>
    </row>
    <row r="106" spans="1:13" s="85" customFormat="1" ht="19.899999999999999" hidden="1" customHeight="1">
      <c r="A106" s="146">
        <v>106</v>
      </c>
      <c r="B106" s="75" t="s">
        <v>88</v>
      </c>
      <c r="C106" s="83" t="s">
        <v>112</v>
      </c>
      <c r="D106" s="84">
        <f t="shared" ref="D106:L106" si="6">(DAY(D86)*24+HOUR(D86)+1/60*MINUTE(D86))+(DAY(D104)*24+HOUR(D104)+1/60*MINUTE(D104))</f>
        <v>0</v>
      </c>
      <c r="E106" s="84">
        <f t="shared" si="6"/>
        <v>0</v>
      </c>
      <c r="F106" s="84">
        <f t="shared" si="6"/>
        <v>0</v>
      </c>
      <c r="G106" s="84">
        <f t="shared" si="6"/>
        <v>0</v>
      </c>
      <c r="H106" s="84">
        <f t="shared" si="6"/>
        <v>0</v>
      </c>
      <c r="I106" s="84">
        <f t="shared" si="6"/>
        <v>0</v>
      </c>
      <c r="J106" s="84">
        <f t="shared" si="6"/>
        <v>0</v>
      </c>
      <c r="K106" s="84">
        <f t="shared" si="6"/>
        <v>0</v>
      </c>
      <c r="L106" s="84">
        <f t="shared" si="6"/>
        <v>0</v>
      </c>
      <c r="M106" s="178"/>
    </row>
    <row r="107" spans="1:13" ht="19.899999999999999" customHeight="1">
      <c r="A107" s="146">
        <v>107</v>
      </c>
      <c r="D107" s="7"/>
      <c r="E107" s="6"/>
      <c r="F107" s="6"/>
      <c r="M107" s="172"/>
    </row>
    <row r="108" spans="1:13" s="63" customFormat="1" ht="18.600000000000001" customHeight="1">
      <c r="A108" s="146">
        <v>108</v>
      </c>
      <c r="B108" s="86" t="s">
        <v>74</v>
      </c>
      <c r="C108" s="87" t="s">
        <v>75</v>
      </c>
      <c r="D108" s="88" t="s">
        <v>56</v>
      </c>
      <c r="E108" s="107" t="str">
        <f t="shared" ref="E108:L108" si="7">E$35</f>
        <v>P1</v>
      </c>
      <c r="F108" s="107" t="str">
        <f t="shared" si="7"/>
        <v>P2</v>
      </c>
      <c r="G108" s="107" t="str">
        <f t="shared" si="7"/>
        <v>p4</v>
      </c>
      <c r="H108" s="107" t="str">
        <f t="shared" si="7"/>
        <v>p3</v>
      </c>
      <c r="I108" s="107" t="str">
        <f t="shared" si="7"/>
        <v>Seconde part P1</v>
      </c>
      <c r="J108" s="107">
        <f t="shared" si="7"/>
        <v>0</v>
      </c>
      <c r="K108" s="107">
        <f t="shared" si="7"/>
        <v>0</v>
      </c>
      <c r="L108" s="107">
        <f t="shared" si="7"/>
        <v>0</v>
      </c>
      <c r="M108" s="177"/>
    </row>
    <row r="109" spans="1:13" ht="7.9" customHeight="1">
      <c r="A109" s="146">
        <v>109</v>
      </c>
      <c r="B109"/>
      <c r="M109" s="172"/>
    </row>
    <row r="110" spans="1:13" ht="25.5">
      <c r="A110" s="146">
        <v>110</v>
      </c>
      <c r="C110" s="22" t="s">
        <v>90</v>
      </c>
      <c r="D110" s="97">
        <f>(D18-D17)</f>
        <v>0</v>
      </c>
      <c r="I110" s="10"/>
      <c r="J110" s="6"/>
      <c r="K110" s="10"/>
      <c r="L110" s="10"/>
      <c r="M110" s="172"/>
    </row>
    <row r="111" spans="1:13" ht="25.5">
      <c r="A111" s="146">
        <v>111</v>
      </c>
      <c r="C111" s="22" t="s">
        <v>91</v>
      </c>
      <c r="D111" s="97">
        <f>(D22-D21)</f>
        <v>0</v>
      </c>
      <c r="I111" s="10"/>
      <c r="J111" s="6"/>
      <c r="M111" s="172"/>
    </row>
    <row r="112" spans="1:13" ht="25.5">
      <c r="A112" s="146">
        <v>112</v>
      </c>
      <c r="C112" s="22" t="s">
        <v>92</v>
      </c>
      <c r="D112" s="98">
        <f t="shared" ref="D112:L112" si="8">D63</f>
        <v>0</v>
      </c>
      <c r="E112" s="95">
        <f t="shared" si="8"/>
        <v>0</v>
      </c>
      <c r="F112" s="94">
        <f t="shared" si="8"/>
        <v>0</v>
      </c>
      <c r="G112" s="94">
        <f t="shared" si="8"/>
        <v>0</v>
      </c>
      <c r="H112" s="94">
        <f t="shared" si="8"/>
        <v>0</v>
      </c>
      <c r="I112" s="94">
        <f t="shared" si="8"/>
        <v>0</v>
      </c>
      <c r="J112" s="94">
        <f t="shared" si="8"/>
        <v>0</v>
      </c>
      <c r="K112" s="94">
        <f t="shared" si="8"/>
        <v>0</v>
      </c>
      <c r="L112" s="94">
        <f t="shared" si="8"/>
        <v>0</v>
      </c>
      <c r="M112" s="172"/>
    </row>
    <row r="113" spans="1:13" ht="25.5">
      <c r="A113" s="146">
        <v>113</v>
      </c>
      <c r="C113" s="22" t="s">
        <v>93</v>
      </c>
      <c r="D113" s="99">
        <f>SUM(E113:L113)</f>
        <v>0</v>
      </c>
      <c r="E113" s="115">
        <f t="shared" ref="E113:L113" si="9">IF(E63-E106-$E$31&gt;0,E63-E106-$E$31,0)</f>
        <v>0</v>
      </c>
      <c r="F113" s="96">
        <f t="shared" si="9"/>
        <v>0</v>
      </c>
      <c r="G113" s="96">
        <f t="shared" si="9"/>
        <v>0</v>
      </c>
      <c r="H113" s="96">
        <f t="shared" si="9"/>
        <v>0</v>
      </c>
      <c r="I113" s="96">
        <f t="shared" si="9"/>
        <v>0</v>
      </c>
      <c r="J113" s="96">
        <f t="shared" si="9"/>
        <v>0</v>
      </c>
      <c r="K113" s="96">
        <f t="shared" si="9"/>
        <v>0</v>
      </c>
      <c r="L113" s="96">
        <f t="shared" si="9"/>
        <v>0</v>
      </c>
      <c r="M113" s="172"/>
    </row>
    <row r="114" spans="1:13">
      <c r="A114" s="146">
        <v>114</v>
      </c>
      <c r="B114"/>
      <c r="D114" s="102"/>
      <c r="M114" s="172"/>
    </row>
    <row r="115" spans="1:13" s="10" customFormat="1" ht="25.5">
      <c r="A115" s="146">
        <v>115</v>
      </c>
      <c r="B115" s="32"/>
      <c r="C115" s="101" t="s">
        <v>96</v>
      </c>
      <c r="D115" s="54"/>
      <c r="E115" s="12"/>
      <c r="F115" s="12"/>
      <c r="G115" s="12"/>
      <c r="H115" s="12"/>
      <c r="I115" s="12"/>
      <c r="J115" s="12"/>
      <c r="K115" s="12"/>
      <c r="L115" s="12"/>
      <c r="M115" s="175"/>
    </row>
    <row r="116" spans="1:13" s="10" customFormat="1" ht="19.899999999999999" customHeight="1">
      <c r="A116" s="146">
        <v>116</v>
      </c>
      <c r="B116" s="12"/>
      <c r="C116" s="103" t="s">
        <v>97</v>
      </c>
      <c r="D116" s="100" t="e">
        <f>D65/D63</f>
        <v>#DIV/0!</v>
      </c>
      <c r="E116" s="72">
        <f t="shared" ref="E116:L116" si="10">IF((E65&gt;0),E65/E63,0)</f>
        <v>0</v>
      </c>
      <c r="F116" s="72">
        <f t="shared" si="10"/>
        <v>0</v>
      </c>
      <c r="G116" s="72">
        <f t="shared" si="10"/>
        <v>0</v>
      </c>
      <c r="H116" s="72">
        <f t="shared" si="10"/>
        <v>0</v>
      </c>
      <c r="I116" s="72">
        <f t="shared" si="10"/>
        <v>0</v>
      </c>
      <c r="J116" s="72">
        <f t="shared" si="10"/>
        <v>0</v>
      </c>
      <c r="K116" s="72">
        <f t="shared" si="10"/>
        <v>0</v>
      </c>
      <c r="L116" s="72">
        <f t="shared" si="10"/>
        <v>0</v>
      </c>
      <c r="M116" s="175"/>
    </row>
    <row r="117" spans="1:13" ht="19.899999999999999" customHeight="1">
      <c r="A117" s="146">
        <v>117</v>
      </c>
      <c r="B117"/>
      <c r="C117" s="103" t="s">
        <v>95</v>
      </c>
      <c r="D117" s="93">
        <f>SUM(E116:L116)</f>
        <v>0</v>
      </c>
      <c r="M117" s="172"/>
    </row>
    <row r="118" spans="1:13" ht="7.9" customHeight="1">
      <c r="A118" s="146">
        <v>118</v>
      </c>
      <c r="B118"/>
      <c r="D118" s="102"/>
      <c r="M118" s="172"/>
    </row>
    <row r="119" spans="1:13" s="10" customFormat="1" ht="25.5">
      <c r="A119" s="146">
        <v>119</v>
      </c>
      <c r="B119" s="32"/>
      <c r="C119" s="101" t="s">
        <v>98</v>
      </c>
      <c r="D119" s="54"/>
      <c r="E119" s="12"/>
      <c r="F119" s="12"/>
      <c r="G119" s="12"/>
      <c r="H119" s="12"/>
      <c r="I119" s="12"/>
      <c r="J119" s="12"/>
      <c r="K119" s="12"/>
      <c r="L119" s="12"/>
      <c r="M119" s="175"/>
    </row>
    <row r="120" spans="1:13" s="10" customFormat="1" ht="19.899999999999999" customHeight="1">
      <c r="A120" s="146">
        <v>120</v>
      </c>
      <c r="B120" s="12"/>
      <c r="C120" s="103" t="s">
        <v>97</v>
      </c>
      <c r="D120" s="93" t="e">
        <f>D65/(D63-D106)</f>
        <v>#DIV/0!</v>
      </c>
      <c r="E120" s="72">
        <f t="shared" ref="E120:L120" si="11">IF((E65&gt;0),E65/(E63-E106),0)</f>
        <v>0</v>
      </c>
      <c r="F120" s="72">
        <f t="shared" si="11"/>
        <v>0</v>
      </c>
      <c r="G120" s="72">
        <f t="shared" si="11"/>
        <v>0</v>
      </c>
      <c r="H120" s="72">
        <f t="shared" si="11"/>
        <v>0</v>
      </c>
      <c r="I120" s="72">
        <f t="shared" si="11"/>
        <v>0</v>
      </c>
      <c r="J120" s="72">
        <f t="shared" si="11"/>
        <v>0</v>
      </c>
      <c r="K120" s="72">
        <f t="shared" si="11"/>
        <v>0</v>
      </c>
      <c r="L120" s="72">
        <f t="shared" si="11"/>
        <v>0</v>
      </c>
      <c r="M120" s="175"/>
    </row>
    <row r="121" spans="1:13" ht="19.899999999999999" customHeight="1">
      <c r="A121" s="146">
        <v>121</v>
      </c>
      <c r="B121"/>
      <c r="C121" s="103" t="s">
        <v>95</v>
      </c>
      <c r="D121" s="93">
        <f>SUM(E120:L120)</f>
        <v>0</v>
      </c>
      <c r="M121" s="172"/>
    </row>
    <row r="122" spans="1:13" ht="30" customHeight="1">
      <c r="A122" s="146">
        <v>122</v>
      </c>
      <c r="D122" s="3"/>
      <c r="M122" s="172"/>
    </row>
    <row r="123" spans="1:13" ht="19.149999999999999" customHeight="1">
      <c r="A123" s="146">
        <v>123</v>
      </c>
      <c r="B123" s="48">
        <v>3</v>
      </c>
      <c r="C123" s="52" t="s">
        <v>22</v>
      </c>
      <c r="D123" s="10"/>
      <c r="M123" s="172"/>
    </row>
    <row r="124" spans="1:13" s="10" customFormat="1" ht="22.15" customHeight="1">
      <c r="A124" s="146">
        <v>124</v>
      </c>
      <c r="B124" s="51"/>
      <c r="C124" s="78" t="s">
        <v>115</v>
      </c>
      <c r="D124" s="79"/>
      <c r="E124" s="12"/>
      <c r="F124" s="12"/>
      <c r="G124" s="12"/>
      <c r="H124" s="12"/>
      <c r="I124" s="12"/>
      <c r="J124" s="12"/>
      <c r="K124" s="12"/>
      <c r="L124" s="12"/>
      <c r="M124" s="175"/>
    </row>
    <row r="125" spans="1:13" s="10" customFormat="1" ht="22.15" customHeight="1">
      <c r="A125" s="146">
        <v>125</v>
      </c>
      <c r="B125" s="51"/>
      <c r="C125" s="78" t="s">
        <v>89</v>
      </c>
      <c r="D125" s="79"/>
      <c r="E125" s="12"/>
      <c r="F125" s="12"/>
      <c r="G125" s="12"/>
      <c r="H125" s="12"/>
      <c r="I125" s="12"/>
      <c r="J125" s="12"/>
      <c r="K125" s="12"/>
      <c r="L125" s="12"/>
      <c r="M125" s="175"/>
    </row>
    <row r="126" spans="1:13" s="1" customFormat="1" ht="33.6" customHeight="1">
      <c r="A126" s="146">
        <v>126</v>
      </c>
      <c r="B126" s="51" t="s">
        <v>81</v>
      </c>
      <c r="C126" s="22" t="s">
        <v>80</v>
      </c>
      <c r="D126" s="189" t="s">
        <v>20</v>
      </c>
      <c r="E126" s="189"/>
      <c r="F126" s="190"/>
      <c r="G126" s="194" t="s">
        <v>21</v>
      </c>
      <c r="H126" s="189"/>
      <c r="I126" s="189"/>
      <c r="J126" s="37"/>
      <c r="K126" s="25"/>
      <c r="M126" s="179"/>
    </row>
    <row r="127" spans="1:13">
      <c r="A127" s="146">
        <v>127</v>
      </c>
      <c r="C127" s="12"/>
      <c r="D127" s="38" t="s">
        <v>3</v>
      </c>
      <c r="E127" s="123" t="s">
        <v>117</v>
      </c>
      <c r="F127" s="69" t="s">
        <v>2</v>
      </c>
      <c r="G127" s="68" t="s">
        <v>3</v>
      </c>
      <c r="H127" s="38" t="s">
        <v>117</v>
      </c>
      <c r="I127" s="39" t="s">
        <v>2</v>
      </c>
      <c r="M127" s="172"/>
    </row>
    <row r="128" spans="1:13">
      <c r="A128" s="146">
        <v>128</v>
      </c>
      <c r="C128" s="186" t="s">
        <v>142</v>
      </c>
      <c r="D128" s="168"/>
      <c r="E128" s="149"/>
      <c r="F128" s="27">
        <f t="shared" ref="F128:F137" si="12">SUM(D128:E128)</f>
        <v>0</v>
      </c>
      <c r="G128" s="168"/>
      <c r="H128" s="149"/>
      <c r="I128" s="26">
        <f t="shared" ref="I128:I137" si="13">SUM(G128:H128)</f>
        <v>0</v>
      </c>
      <c r="M128" s="172"/>
    </row>
    <row r="129" spans="1:13">
      <c r="A129" s="146">
        <v>129</v>
      </c>
      <c r="C129" s="186"/>
      <c r="D129" s="168"/>
      <c r="E129" s="149"/>
      <c r="F129" s="27">
        <f t="shared" si="12"/>
        <v>0</v>
      </c>
      <c r="G129" s="168"/>
      <c r="H129" s="149"/>
      <c r="I129" s="26">
        <f t="shared" si="13"/>
        <v>0</v>
      </c>
      <c r="M129" s="172"/>
    </row>
    <row r="130" spans="1:13">
      <c r="A130" s="146">
        <v>130</v>
      </c>
      <c r="C130" s="186"/>
      <c r="D130" s="168"/>
      <c r="E130" s="149"/>
      <c r="F130" s="27">
        <f t="shared" si="12"/>
        <v>0</v>
      </c>
      <c r="G130" s="168"/>
      <c r="H130" s="149"/>
      <c r="I130" s="26">
        <f t="shared" si="13"/>
        <v>0</v>
      </c>
      <c r="M130" s="172"/>
    </row>
    <row r="131" spans="1:13">
      <c r="A131" s="146">
        <v>131</v>
      </c>
      <c r="C131" s="167"/>
      <c r="D131" s="168"/>
      <c r="E131" s="149"/>
      <c r="F131" s="27">
        <f t="shared" si="12"/>
        <v>0</v>
      </c>
      <c r="G131" s="168"/>
      <c r="H131" s="149"/>
      <c r="I131" s="26">
        <f t="shared" si="13"/>
        <v>0</v>
      </c>
      <c r="M131" s="172"/>
    </row>
    <row r="132" spans="1:13">
      <c r="A132" s="146">
        <v>132</v>
      </c>
      <c r="C132" s="167"/>
      <c r="D132" s="168"/>
      <c r="E132" s="149"/>
      <c r="F132" s="27">
        <f t="shared" si="12"/>
        <v>0</v>
      </c>
      <c r="G132" s="168"/>
      <c r="H132" s="149"/>
      <c r="I132" s="26">
        <f t="shared" si="13"/>
        <v>0</v>
      </c>
      <c r="M132" s="172"/>
    </row>
    <row r="133" spans="1:13">
      <c r="A133" s="146">
        <v>133</v>
      </c>
      <c r="C133" s="167"/>
      <c r="D133" s="168"/>
      <c r="E133" s="149"/>
      <c r="F133" s="27">
        <f t="shared" si="12"/>
        <v>0</v>
      </c>
      <c r="G133" s="168"/>
      <c r="H133" s="149"/>
      <c r="I133" s="26">
        <f t="shared" si="13"/>
        <v>0</v>
      </c>
      <c r="M133" s="172"/>
    </row>
    <row r="134" spans="1:13">
      <c r="A134" s="146">
        <v>134</v>
      </c>
      <c r="C134" s="167"/>
      <c r="D134" s="168"/>
      <c r="E134" s="149"/>
      <c r="F134" s="27">
        <f t="shared" si="12"/>
        <v>0</v>
      </c>
      <c r="G134" s="168"/>
      <c r="H134" s="149"/>
      <c r="I134" s="26">
        <f t="shared" si="13"/>
        <v>0</v>
      </c>
      <c r="M134" s="172"/>
    </row>
    <row r="135" spans="1:13">
      <c r="A135" s="146">
        <v>135</v>
      </c>
      <c r="C135" s="167"/>
      <c r="D135" s="168"/>
      <c r="E135" s="149"/>
      <c r="F135" s="27">
        <f t="shared" si="12"/>
        <v>0</v>
      </c>
      <c r="G135" s="168"/>
      <c r="H135" s="149"/>
      <c r="I135" s="26">
        <f t="shared" si="13"/>
        <v>0</v>
      </c>
      <c r="M135" s="172"/>
    </row>
    <row r="136" spans="1:13">
      <c r="A136" s="146">
        <v>136</v>
      </c>
      <c r="C136" s="167"/>
      <c r="D136" s="168"/>
      <c r="E136" s="149"/>
      <c r="F136" s="27">
        <f t="shared" si="12"/>
        <v>0</v>
      </c>
      <c r="G136" s="168"/>
      <c r="H136" s="149"/>
      <c r="I136" s="26">
        <f t="shared" si="13"/>
        <v>0</v>
      </c>
      <c r="M136" s="172"/>
    </row>
    <row r="137" spans="1:13">
      <c r="A137" s="146">
        <v>137</v>
      </c>
      <c r="C137" s="167"/>
      <c r="D137" s="169"/>
      <c r="E137" s="149"/>
      <c r="F137" s="27">
        <f t="shared" si="12"/>
        <v>0</v>
      </c>
      <c r="G137" s="169"/>
      <c r="H137" s="149"/>
      <c r="I137" s="26">
        <f t="shared" si="13"/>
        <v>0</v>
      </c>
      <c r="M137" s="172"/>
    </row>
    <row r="138" spans="1:13">
      <c r="A138" s="146">
        <v>138</v>
      </c>
      <c r="C138" t="s">
        <v>4</v>
      </c>
      <c r="D138" s="26">
        <f t="shared" ref="D138:I138" si="14">SUM(D128:D137)</f>
        <v>0</v>
      </c>
      <c r="E138" s="24">
        <f t="shared" si="14"/>
        <v>0</v>
      </c>
      <c r="F138" s="27">
        <f t="shared" si="14"/>
        <v>0</v>
      </c>
      <c r="G138" s="26">
        <f t="shared" si="14"/>
        <v>0</v>
      </c>
      <c r="H138" s="24">
        <f t="shared" si="14"/>
        <v>0</v>
      </c>
      <c r="I138" s="26">
        <f t="shared" si="14"/>
        <v>0</v>
      </c>
      <c r="M138" s="172"/>
    </row>
    <row r="139" spans="1:13" ht="21" customHeight="1">
      <c r="A139" s="146">
        <v>139</v>
      </c>
      <c r="D139" s="3"/>
      <c r="M139" s="172"/>
    </row>
    <row r="140" spans="1:13" s="1" customFormat="1">
      <c r="A140" s="146">
        <v>140</v>
      </c>
      <c r="B140" s="31" t="s">
        <v>43</v>
      </c>
      <c r="C140" s="9" t="s">
        <v>44</v>
      </c>
      <c r="D140" s="189" t="s">
        <v>76</v>
      </c>
      <c r="E140" s="189"/>
      <c r="F140" s="190"/>
      <c r="G140" s="194" t="s">
        <v>77</v>
      </c>
      <c r="H140" s="189"/>
      <c r="I140" s="189"/>
      <c r="J140" s="37"/>
      <c r="K140" s="25"/>
      <c r="M140" s="179"/>
    </row>
    <row r="141" spans="1:13" ht="47.45" customHeight="1">
      <c r="A141" s="146">
        <v>141</v>
      </c>
      <c r="C141" s="132" t="s">
        <v>122</v>
      </c>
      <c r="D141" s="38" t="s">
        <v>3</v>
      </c>
      <c r="E141" s="38" t="s">
        <v>117</v>
      </c>
      <c r="F141" s="69" t="s">
        <v>2</v>
      </c>
      <c r="G141" s="68" t="s">
        <v>3</v>
      </c>
      <c r="H141" s="38" t="s">
        <v>117</v>
      </c>
      <c r="I141" s="39" t="s">
        <v>2</v>
      </c>
      <c r="M141" s="172"/>
    </row>
    <row r="142" spans="1:13">
      <c r="A142" s="146">
        <v>142</v>
      </c>
      <c r="C142" t="str">
        <f t="shared" ref="C142:C151" si="15">C128</f>
        <v>AKN</v>
      </c>
      <c r="D142" s="168"/>
      <c r="E142" s="149"/>
      <c r="F142" s="27">
        <f t="shared" ref="F142:F151" si="16">SUM(D142:E142)</f>
        <v>0</v>
      </c>
      <c r="G142" s="168"/>
      <c r="H142" s="149"/>
      <c r="I142" s="26">
        <f t="shared" ref="I142:I151" si="17">SUM(G142:H142)</f>
        <v>0</v>
      </c>
      <c r="M142" s="172"/>
    </row>
    <row r="143" spans="1:13">
      <c r="A143" s="146">
        <v>143</v>
      </c>
      <c r="C143">
        <f t="shared" si="15"/>
        <v>0</v>
      </c>
      <c r="D143" s="169"/>
      <c r="E143" s="149"/>
      <c r="F143" s="27">
        <f t="shared" si="16"/>
        <v>0</v>
      </c>
      <c r="G143" s="169"/>
      <c r="H143" s="149"/>
      <c r="I143" s="26">
        <f t="shared" si="17"/>
        <v>0</v>
      </c>
      <c r="M143" s="172"/>
    </row>
    <row r="144" spans="1:13">
      <c r="A144" s="146">
        <v>144</v>
      </c>
      <c r="C144">
        <f t="shared" si="15"/>
        <v>0</v>
      </c>
      <c r="D144" s="168"/>
      <c r="E144" s="149"/>
      <c r="F144" s="27">
        <f t="shared" si="16"/>
        <v>0</v>
      </c>
      <c r="G144" s="168"/>
      <c r="H144" s="149"/>
      <c r="I144" s="26">
        <f t="shared" si="17"/>
        <v>0</v>
      </c>
      <c r="M144" s="172"/>
    </row>
    <row r="145" spans="1:13">
      <c r="A145" s="146">
        <v>145</v>
      </c>
      <c r="C145">
        <f t="shared" si="15"/>
        <v>0</v>
      </c>
      <c r="D145" s="169"/>
      <c r="E145" s="149"/>
      <c r="F145" s="27">
        <f t="shared" si="16"/>
        <v>0</v>
      </c>
      <c r="G145" s="169"/>
      <c r="H145" s="149"/>
      <c r="I145" s="26">
        <f t="shared" si="17"/>
        <v>0</v>
      </c>
      <c r="M145" s="172"/>
    </row>
    <row r="146" spans="1:13">
      <c r="A146" s="146">
        <v>146</v>
      </c>
      <c r="C146">
        <f t="shared" si="15"/>
        <v>0</v>
      </c>
      <c r="D146" s="169"/>
      <c r="E146" s="149"/>
      <c r="F146" s="27">
        <f t="shared" si="16"/>
        <v>0</v>
      </c>
      <c r="G146" s="169"/>
      <c r="H146" s="149"/>
      <c r="I146" s="26">
        <f t="shared" si="17"/>
        <v>0</v>
      </c>
      <c r="M146" s="172"/>
    </row>
    <row r="147" spans="1:13">
      <c r="A147" s="146">
        <v>147</v>
      </c>
      <c r="C147">
        <f t="shared" si="15"/>
        <v>0</v>
      </c>
      <c r="D147" s="169"/>
      <c r="E147" s="149"/>
      <c r="F147" s="27">
        <f t="shared" si="16"/>
        <v>0</v>
      </c>
      <c r="G147" s="169"/>
      <c r="H147" s="149"/>
      <c r="I147" s="26">
        <f t="shared" si="17"/>
        <v>0</v>
      </c>
      <c r="M147" s="172"/>
    </row>
    <row r="148" spans="1:13">
      <c r="A148" s="146">
        <v>148</v>
      </c>
      <c r="C148">
        <f t="shared" si="15"/>
        <v>0</v>
      </c>
      <c r="D148" s="169"/>
      <c r="E148" s="149"/>
      <c r="F148" s="27">
        <f t="shared" si="16"/>
        <v>0</v>
      </c>
      <c r="G148" s="169"/>
      <c r="H148" s="149"/>
      <c r="I148" s="26">
        <f t="shared" si="17"/>
        <v>0</v>
      </c>
      <c r="M148" s="172"/>
    </row>
    <row r="149" spans="1:13">
      <c r="A149" s="146">
        <v>149</v>
      </c>
      <c r="C149">
        <f t="shared" si="15"/>
        <v>0</v>
      </c>
      <c r="D149" s="169"/>
      <c r="E149" s="149"/>
      <c r="F149" s="27">
        <f t="shared" si="16"/>
        <v>0</v>
      </c>
      <c r="G149" s="169"/>
      <c r="H149" s="149"/>
      <c r="I149" s="26">
        <f t="shared" si="17"/>
        <v>0</v>
      </c>
      <c r="M149" s="172"/>
    </row>
    <row r="150" spans="1:13">
      <c r="A150" s="146">
        <v>150</v>
      </c>
      <c r="C150">
        <f t="shared" si="15"/>
        <v>0</v>
      </c>
      <c r="D150" s="169"/>
      <c r="E150" s="149"/>
      <c r="F150" s="27">
        <f t="shared" si="16"/>
        <v>0</v>
      </c>
      <c r="G150" s="169"/>
      <c r="H150" s="149"/>
      <c r="I150" s="26">
        <f t="shared" si="17"/>
        <v>0</v>
      </c>
      <c r="M150" s="172"/>
    </row>
    <row r="151" spans="1:13">
      <c r="A151" s="146">
        <v>151</v>
      </c>
      <c r="C151">
        <f t="shared" si="15"/>
        <v>0</v>
      </c>
      <c r="D151" s="169"/>
      <c r="E151" s="149"/>
      <c r="F151" s="27">
        <f t="shared" si="16"/>
        <v>0</v>
      </c>
      <c r="G151" s="169"/>
      <c r="H151" s="149"/>
      <c r="I151" s="26">
        <f t="shared" si="17"/>
        <v>0</v>
      </c>
      <c r="M151" s="172"/>
    </row>
    <row r="152" spans="1:13">
      <c r="A152" s="146">
        <v>152</v>
      </c>
      <c r="C152" t="s">
        <v>4</v>
      </c>
      <c r="D152" s="26">
        <f t="shared" ref="D152:I152" si="18">SUM(D142:D151)</f>
        <v>0</v>
      </c>
      <c r="E152" s="24">
        <f t="shared" si="18"/>
        <v>0</v>
      </c>
      <c r="F152" s="27">
        <f t="shared" si="18"/>
        <v>0</v>
      </c>
      <c r="G152" s="26">
        <f t="shared" si="18"/>
        <v>0</v>
      </c>
      <c r="H152" s="24">
        <f t="shared" si="18"/>
        <v>0</v>
      </c>
      <c r="I152" s="26">
        <f t="shared" si="18"/>
        <v>0</v>
      </c>
      <c r="M152" s="172"/>
    </row>
    <row r="153" spans="1:13" ht="20.45" customHeight="1">
      <c r="A153" s="146">
        <v>153</v>
      </c>
      <c r="D153" s="3"/>
      <c r="M153" s="172"/>
    </row>
    <row r="154" spans="1:13" ht="15.75">
      <c r="A154" s="146">
        <v>154</v>
      </c>
      <c r="B154" s="48">
        <v>4</v>
      </c>
      <c r="C154" s="52" t="s">
        <v>23</v>
      </c>
      <c r="D154" s="10"/>
      <c r="M154" s="172"/>
    </row>
    <row r="155" spans="1:13" s="10" customFormat="1" ht="22.15" customHeight="1">
      <c r="A155" s="146">
        <v>155</v>
      </c>
      <c r="B155" s="51"/>
      <c r="C155" s="78" t="s">
        <v>120</v>
      </c>
      <c r="D155" s="79"/>
      <c r="E155" s="12"/>
      <c r="F155" s="12"/>
      <c r="G155" s="12"/>
      <c r="H155" s="12"/>
      <c r="I155" s="12"/>
      <c r="J155" s="12"/>
      <c r="K155" s="12"/>
      <c r="L155" s="12"/>
      <c r="M155" s="175"/>
    </row>
    <row r="156" spans="1:13" s="10" customFormat="1" ht="14.45" customHeight="1">
      <c r="A156" s="146">
        <v>156</v>
      </c>
      <c r="B156" s="51"/>
      <c r="C156" s="78" t="s">
        <v>89</v>
      </c>
      <c r="D156" s="79"/>
      <c r="E156" s="12"/>
      <c r="F156" s="12"/>
      <c r="G156" s="12"/>
      <c r="H156" s="12"/>
      <c r="I156" s="12"/>
      <c r="J156" s="12"/>
      <c r="K156" s="12"/>
      <c r="L156" s="12"/>
      <c r="M156" s="175"/>
    </row>
    <row r="157" spans="1:13" s="1" customFormat="1">
      <c r="A157" s="146">
        <v>157</v>
      </c>
      <c r="B157" s="30" t="s">
        <v>26</v>
      </c>
      <c r="C157" s="9" t="s">
        <v>82</v>
      </c>
      <c r="D157" s="189" t="s">
        <v>24</v>
      </c>
      <c r="E157" s="189"/>
      <c r="F157" s="190"/>
      <c r="G157" s="189" t="s">
        <v>25</v>
      </c>
      <c r="H157" s="189"/>
      <c r="I157" s="189"/>
      <c r="J157" s="37"/>
      <c r="K157" s="25"/>
      <c r="M157" s="179"/>
    </row>
    <row r="158" spans="1:13">
      <c r="A158" s="146">
        <v>158</v>
      </c>
      <c r="C158" s="12"/>
      <c r="D158" s="38" t="s">
        <v>3</v>
      </c>
      <c r="E158" s="38" t="s">
        <v>117</v>
      </c>
      <c r="F158" s="69" t="s">
        <v>2</v>
      </c>
      <c r="G158" s="38" t="s">
        <v>3</v>
      </c>
      <c r="H158" s="38" t="s">
        <v>117</v>
      </c>
      <c r="I158" s="39" t="s">
        <v>2</v>
      </c>
      <c r="M158" s="172"/>
    </row>
    <row r="159" spans="1:13">
      <c r="A159" s="146">
        <v>159</v>
      </c>
      <c r="C159" t="str">
        <f t="shared" ref="C159:C168" si="19">C128</f>
        <v>AKN</v>
      </c>
      <c r="D159" s="168"/>
      <c r="E159" s="149"/>
      <c r="F159" s="27">
        <f t="shared" ref="F159:F168" si="20">SUM(D159:E159)</f>
        <v>0</v>
      </c>
      <c r="G159" s="168"/>
      <c r="H159" s="149"/>
      <c r="I159" s="26">
        <f t="shared" ref="I159:I168" si="21">SUM(G159:H159)</f>
        <v>0</v>
      </c>
      <c r="M159" s="172"/>
    </row>
    <row r="160" spans="1:13">
      <c r="A160" s="146">
        <v>160</v>
      </c>
      <c r="C160">
        <f t="shared" si="19"/>
        <v>0</v>
      </c>
      <c r="D160" s="168"/>
      <c r="E160" s="149"/>
      <c r="F160" s="27">
        <f t="shared" si="20"/>
        <v>0</v>
      </c>
      <c r="G160" s="168"/>
      <c r="H160" s="149"/>
      <c r="I160" s="26">
        <f t="shared" si="21"/>
        <v>0</v>
      </c>
      <c r="M160" s="172"/>
    </row>
    <row r="161" spans="1:13">
      <c r="A161" s="146">
        <v>161</v>
      </c>
      <c r="C161">
        <f t="shared" si="19"/>
        <v>0</v>
      </c>
      <c r="D161" s="168"/>
      <c r="E161" s="149"/>
      <c r="F161" s="27">
        <f t="shared" si="20"/>
        <v>0</v>
      </c>
      <c r="G161" s="168"/>
      <c r="H161" s="149"/>
      <c r="I161" s="26">
        <f t="shared" si="21"/>
        <v>0</v>
      </c>
      <c r="M161" s="172"/>
    </row>
    <row r="162" spans="1:13">
      <c r="A162" s="146">
        <v>162</v>
      </c>
      <c r="C162">
        <f t="shared" si="19"/>
        <v>0</v>
      </c>
      <c r="D162" s="168"/>
      <c r="E162" s="149"/>
      <c r="F162" s="27">
        <f t="shared" si="20"/>
        <v>0</v>
      </c>
      <c r="G162" s="168"/>
      <c r="H162" s="149"/>
      <c r="I162" s="26">
        <f t="shared" si="21"/>
        <v>0</v>
      </c>
      <c r="M162" s="172"/>
    </row>
    <row r="163" spans="1:13">
      <c r="A163" s="146">
        <v>163</v>
      </c>
      <c r="C163">
        <f t="shared" si="19"/>
        <v>0</v>
      </c>
      <c r="D163" s="168"/>
      <c r="E163" s="149"/>
      <c r="F163" s="27">
        <f t="shared" si="20"/>
        <v>0</v>
      </c>
      <c r="G163" s="168"/>
      <c r="H163" s="149"/>
      <c r="I163" s="26">
        <f t="shared" si="21"/>
        <v>0</v>
      </c>
      <c r="M163" s="172"/>
    </row>
    <row r="164" spans="1:13">
      <c r="A164" s="146">
        <v>164</v>
      </c>
      <c r="C164">
        <f t="shared" si="19"/>
        <v>0</v>
      </c>
      <c r="D164" s="168"/>
      <c r="E164" s="149"/>
      <c r="F164" s="27">
        <f t="shared" si="20"/>
        <v>0</v>
      </c>
      <c r="G164" s="168"/>
      <c r="H164" s="149"/>
      <c r="I164" s="26">
        <f t="shared" si="21"/>
        <v>0</v>
      </c>
      <c r="M164" s="172"/>
    </row>
    <row r="165" spans="1:13">
      <c r="A165" s="146">
        <v>165</v>
      </c>
      <c r="C165">
        <f t="shared" si="19"/>
        <v>0</v>
      </c>
      <c r="D165" s="168"/>
      <c r="E165" s="149"/>
      <c r="F165" s="27">
        <f t="shared" si="20"/>
        <v>0</v>
      </c>
      <c r="G165" s="168"/>
      <c r="H165" s="149"/>
      <c r="I165" s="26">
        <f t="shared" si="21"/>
        <v>0</v>
      </c>
      <c r="M165" s="172"/>
    </row>
    <row r="166" spans="1:13">
      <c r="A166" s="146">
        <v>166</v>
      </c>
      <c r="C166">
        <f t="shared" si="19"/>
        <v>0</v>
      </c>
      <c r="D166" s="168"/>
      <c r="E166" s="149"/>
      <c r="F166" s="27">
        <f t="shared" si="20"/>
        <v>0</v>
      </c>
      <c r="G166" s="168"/>
      <c r="H166" s="149"/>
      <c r="I166" s="26">
        <f t="shared" si="21"/>
        <v>0</v>
      </c>
      <c r="M166" s="172"/>
    </row>
    <row r="167" spans="1:13">
      <c r="A167" s="146">
        <v>167</v>
      </c>
      <c r="C167">
        <f t="shared" si="19"/>
        <v>0</v>
      </c>
      <c r="D167" s="169"/>
      <c r="E167" s="149"/>
      <c r="F167" s="27">
        <f t="shared" si="20"/>
        <v>0</v>
      </c>
      <c r="G167" s="169"/>
      <c r="H167" s="149"/>
      <c r="I167" s="26">
        <f t="shared" si="21"/>
        <v>0</v>
      </c>
      <c r="M167" s="172"/>
    </row>
    <row r="168" spans="1:13">
      <c r="A168" s="146">
        <v>168</v>
      </c>
      <c r="C168">
        <f t="shared" si="19"/>
        <v>0</v>
      </c>
      <c r="D168" s="169"/>
      <c r="E168" s="149"/>
      <c r="F168" s="27">
        <f t="shared" si="20"/>
        <v>0</v>
      </c>
      <c r="G168" s="169"/>
      <c r="H168" s="149"/>
      <c r="I168" s="26">
        <f t="shared" si="21"/>
        <v>0</v>
      </c>
      <c r="M168" s="172"/>
    </row>
    <row r="169" spans="1:13">
      <c r="A169" s="146">
        <v>169</v>
      </c>
      <c r="C169" t="s">
        <v>4</v>
      </c>
      <c r="D169" s="26">
        <f t="shared" ref="D169:I169" si="22">SUM(D159:D168)</f>
        <v>0</v>
      </c>
      <c r="E169" s="24">
        <f t="shared" si="22"/>
        <v>0</v>
      </c>
      <c r="F169" s="27">
        <f t="shared" si="22"/>
        <v>0</v>
      </c>
      <c r="G169" s="26">
        <f>SUM(G159:G168)</f>
        <v>0</v>
      </c>
      <c r="H169" s="24">
        <f t="shared" si="22"/>
        <v>0</v>
      </c>
      <c r="I169" s="26">
        <f t="shared" si="22"/>
        <v>0</v>
      </c>
      <c r="M169" s="172"/>
    </row>
    <row r="170" spans="1:13">
      <c r="A170" s="146">
        <v>170</v>
      </c>
      <c r="M170" s="172"/>
    </row>
    <row r="171" spans="1:13" s="1" customFormat="1">
      <c r="A171" s="146">
        <v>171</v>
      </c>
      <c r="B171" s="31" t="s">
        <v>27</v>
      </c>
      <c r="C171" s="9" t="s">
        <v>83</v>
      </c>
      <c r="D171" s="189" t="s">
        <v>28</v>
      </c>
      <c r="E171" s="189"/>
      <c r="F171" s="190"/>
      <c r="G171" s="189" t="s">
        <v>29</v>
      </c>
      <c r="H171" s="189"/>
      <c r="I171" s="189"/>
      <c r="J171" s="37"/>
      <c r="K171" s="25"/>
      <c r="M171" s="179"/>
    </row>
    <row r="172" spans="1:13">
      <c r="A172" s="146">
        <v>172</v>
      </c>
      <c r="C172" s="12"/>
      <c r="D172" s="38" t="s">
        <v>3</v>
      </c>
      <c r="E172" s="38" t="s">
        <v>117</v>
      </c>
      <c r="F172" s="69" t="s">
        <v>2</v>
      </c>
      <c r="G172" s="38" t="s">
        <v>3</v>
      </c>
      <c r="H172" s="38" t="s">
        <v>117</v>
      </c>
      <c r="I172" s="39" t="s">
        <v>2</v>
      </c>
      <c r="M172" s="172"/>
    </row>
    <row r="173" spans="1:13">
      <c r="A173" s="146">
        <v>173</v>
      </c>
      <c r="C173" t="str">
        <f t="shared" ref="C173:C182" si="23">C128</f>
        <v>AKN</v>
      </c>
      <c r="D173" s="168"/>
      <c r="E173" s="149"/>
      <c r="F173" s="27">
        <f t="shared" ref="F173:F182" si="24">SUM(D173:E173)</f>
        <v>0</v>
      </c>
      <c r="G173" s="168"/>
      <c r="H173" s="149"/>
      <c r="I173" s="26">
        <f t="shared" ref="I173:I182" si="25">SUM(G173:H173)</f>
        <v>0</v>
      </c>
      <c r="M173" s="172"/>
    </row>
    <row r="174" spans="1:13">
      <c r="A174" s="146">
        <v>174</v>
      </c>
      <c r="C174">
        <f t="shared" si="23"/>
        <v>0</v>
      </c>
      <c r="D174" s="169"/>
      <c r="E174" s="149"/>
      <c r="F174" s="27">
        <f t="shared" si="24"/>
        <v>0</v>
      </c>
      <c r="G174" s="169"/>
      <c r="H174" s="149"/>
      <c r="I174" s="26">
        <f t="shared" si="25"/>
        <v>0</v>
      </c>
      <c r="M174" s="172"/>
    </row>
    <row r="175" spans="1:13">
      <c r="A175" s="146">
        <v>175</v>
      </c>
      <c r="C175">
        <f t="shared" si="23"/>
        <v>0</v>
      </c>
      <c r="D175" s="168"/>
      <c r="E175" s="149"/>
      <c r="F175" s="27">
        <f t="shared" si="24"/>
        <v>0</v>
      </c>
      <c r="G175" s="168"/>
      <c r="H175" s="149"/>
      <c r="I175" s="26">
        <f t="shared" si="25"/>
        <v>0</v>
      </c>
      <c r="M175" s="172"/>
    </row>
    <row r="176" spans="1:13">
      <c r="A176" s="146">
        <v>176</v>
      </c>
      <c r="C176">
        <f t="shared" si="23"/>
        <v>0</v>
      </c>
      <c r="D176" s="169"/>
      <c r="E176" s="149"/>
      <c r="F176" s="27">
        <f t="shared" si="24"/>
        <v>0</v>
      </c>
      <c r="G176" s="169"/>
      <c r="H176" s="149"/>
      <c r="I176" s="26">
        <f t="shared" si="25"/>
        <v>0</v>
      </c>
      <c r="M176" s="172"/>
    </row>
    <row r="177" spans="1:13">
      <c r="A177" s="146">
        <v>177</v>
      </c>
      <c r="C177">
        <f t="shared" si="23"/>
        <v>0</v>
      </c>
      <c r="D177" s="169"/>
      <c r="E177" s="149"/>
      <c r="F177" s="27">
        <f t="shared" si="24"/>
        <v>0</v>
      </c>
      <c r="G177" s="169"/>
      <c r="H177" s="149"/>
      <c r="I177" s="26">
        <f t="shared" si="25"/>
        <v>0</v>
      </c>
      <c r="M177" s="172"/>
    </row>
    <row r="178" spans="1:13">
      <c r="A178" s="146">
        <v>178</v>
      </c>
      <c r="C178">
        <f t="shared" si="23"/>
        <v>0</v>
      </c>
      <c r="D178" s="169"/>
      <c r="E178" s="149"/>
      <c r="F178" s="27">
        <f t="shared" si="24"/>
        <v>0</v>
      </c>
      <c r="G178" s="169"/>
      <c r="H178" s="149"/>
      <c r="I178" s="26">
        <f t="shared" si="25"/>
        <v>0</v>
      </c>
      <c r="M178" s="172"/>
    </row>
    <row r="179" spans="1:13">
      <c r="A179" s="146">
        <v>179</v>
      </c>
      <c r="C179">
        <f t="shared" si="23"/>
        <v>0</v>
      </c>
      <c r="D179" s="169"/>
      <c r="E179" s="149"/>
      <c r="F179" s="27">
        <f t="shared" si="24"/>
        <v>0</v>
      </c>
      <c r="G179" s="169"/>
      <c r="H179" s="149"/>
      <c r="I179" s="26">
        <f t="shared" si="25"/>
        <v>0</v>
      </c>
      <c r="M179" s="172"/>
    </row>
    <row r="180" spans="1:13">
      <c r="A180" s="146">
        <v>180</v>
      </c>
      <c r="C180">
        <f t="shared" si="23"/>
        <v>0</v>
      </c>
      <c r="D180" s="169"/>
      <c r="E180" s="149"/>
      <c r="F180" s="27">
        <f t="shared" si="24"/>
        <v>0</v>
      </c>
      <c r="G180" s="169"/>
      <c r="H180" s="149"/>
      <c r="I180" s="26">
        <f t="shared" si="25"/>
        <v>0</v>
      </c>
      <c r="M180" s="172"/>
    </row>
    <row r="181" spans="1:13">
      <c r="A181" s="146">
        <v>181</v>
      </c>
      <c r="C181">
        <f t="shared" si="23"/>
        <v>0</v>
      </c>
      <c r="D181" s="169"/>
      <c r="E181" s="149"/>
      <c r="F181" s="27">
        <f t="shared" si="24"/>
        <v>0</v>
      </c>
      <c r="G181" s="169"/>
      <c r="H181" s="149"/>
      <c r="I181" s="26">
        <f t="shared" si="25"/>
        <v>0</v>
      </c>
      <c r="M181" s="172"/>
    </row>
    <row r="182" spans="1:13">
      <c r="A182" s="146">
        <v>182</v>
      </c>
      <c r="C182">
        <f t="shared" si="23"/>
        <v>0</v>
      </c>
      <c r="D182" s="169"/>
      <c r="E182" s="149"/>
      <c r="F182" s="27">
        <f t="shared" si="24"/>
        <v>0</v>
      </c>
      <c r="G182" s="169"/>
      <c r="H182" s="149"/>
      <c r="I182" s="26">
        <f t="shared" si="25"/>
        <v>0</v>
      </c>
      <c r="M182" s="172"/>
    </row>
    <row r="183" spans="1:13">
      <c r="A183" s="146">
        <v>183</v>
      </c>
      <c r="C183" t="s">
        <v>4</v>
      </c>
      <c r="D183" s="26">
        <f t="shared" ref="D183:I183" si="26">SUM(D173:D182)</f>
        <v>0</v>
      </c>
      <c r="E183" s="24">
        <f t="shared" si="26"/>
        <v>0</v>
      </c>
      <c r="F183" s="27">
        <f t="shared" si="26"/>
        <v>0</v>
      </c>
      <c r="G183" s="26">
        <f t="shared" si="26"/>
        <v>0</v>
      </c>
      <c r="H183" s="24">
        <f t="shared" si="26"/>
        <v>0</v>
      </c>
      <c r="I183" s="26">
        <f t="shared" si="26"/>
        <v>0</v>
      </c>
      <c r="M183" s="172"/>
    </row>
    <row r="184" spans="1:13" ht="23.45" customHeight="1">
      <c r="A184" s="146">
        <v>184</v>
      </c>
      <c r="M184" s="172"/>
    </row>
    <row r="185" spans="1:13" s="1" customFormat="1">
      <c r="A185" s="146">
        <v>185</v>
      </c>
      <c r="B185" s="31" t="s">
        <v>42</v>
      </c>
      <c r="C185" s="9" t="s">
        <v>94</v>
      </c>
      <c r="D185" s="189" t="s">
        <v>78</v>
      </c>
      <c r="E185" s="189"/>
      <c r="F185" s="190"/>
      <c r="G185" s="189" t="s">
        <v>79</v>
      </c>
      <c r="H185" s="189"/>
      <c r="I185" s="189"/>
      <c r="J185" s="37"/>
      <c r="K185" s="25"/>
      <c r="M185" s="179"/>
    </row>
    <row r="186" spans="1:13" ht="47.45" customHeight="1">
      <c r="A186" s="146">
        <v>186</v>
      </c>
      <c r="C186" s="132" t="s">
        <v>121</v>
      </c>
      <c r="D186" s="38" t="s">
        <v>3</v>
      </c>
      <c r="E186" s="38" t="s">
        <v>117</v>
      </c>
      <c r="F186" s="69" t="s">
        <v>2</v>
      </c>
      <c r="G186" s="38" t="s">
        <v>3</v>
      </c>
      <c r="H186" s="38" t="s">
        <v>117</v>
      </c>
      <c r="I186" s="39" t="s">
        <v>2</v>
      </c>
      <c r="M186" s="172"/>
    </row>
    <row r="187" spans="1:13">
      <c r="A187" s="146">
        <v>187</v>
      </c>
      <c r="C187" t="str">
        <f t="shared" ref="C187:C196" si="27">C128</f>
        <v>AKN</v>
      </c>
      <c r="D187" s="168"/>
      <c r="E187" s="149"/>
      <c r="F187" s="27">
        <f t="shared" ref="F187:F196" si="28">SUM(D187:E187)</f>
        <v>0</v>
      </c>
      <c r="G187" s="168"/>
      <c r="H187" s="149"/>
      <c r="I187" s="26">
        <f t="shared" ref="I187:I196" si="29">SUM(G187:H187)</f>
        <v>0</v>
      </c>
      <c r="M187" s="172"/>
    </row>
    <row r="188" spans="1:13">
      <c r="A188" s="146">
        <v>188</v>
      </c>
      <c r="C188">
        <f t="shared" si="27"/>
        <v>0</v>
      </c>
      <c r="D188" s="169"/>
      <c r="E188" s="149"/>
      <c r="F188" s="27">
        <f t="shared" si="28"/>
        <v>0</v>
      </c>
      <c r="G188" s="169"/>
      <c r="H188" s="149"/>
      <c r="I188" s="26">
        <f t="shared" si="29"/>
        <v>0</v>
      </c>
      <c r="M188" s="172"/>
    </row>
    <row r="189" spans="1:13">
      <c r="A189" s="146">
        <v>189</v>
      </c>
      <c r="C189">
        <f t="shared" si="27"/>
        <v>0</v>
      </c>
      <c r="D189" s="168"/>
      <c r="E189" s="149"/>
      <c r="F189" s="27">
        <f t="shared" si="28"/>
        <v>0</v>
      </c>
      <c r="G189" s="168"/>
      <c r="H189" s="149"/>
      <c r="I189" s="26">
        <f t="shared" si="29"/>
        <v>0</v>
      </c>
      <c r="M189" s="172"/>
    </row>
    <row r="190" spans="1:13">
      <c r="A190" s="146">
        <v>190</v>
      </c>
      <c r="C190">
        <f t="shared" si="27"/>
        <v>0</v>
      </c>
      <c r="D190" s="169"/>
      <c r="E190" s="149"/>
      <c r="F190" s="27">
        <f t="shared" si="28"/>
        <v>0</v>
      </c>
      <c r="G190" s="169"/>
      <c r="H190" s="149"/>
      <c r="I190" s="26">
        <f t="shared" si="29"/>
        <v>0</v>
      </c>
      <c r="M190" s="172"/>
    </row>
    <row r="191" spans="1:13">
      <c r="A191" s="146">
        <v>191</v>
      </c>
      <c r="C191">
        <f t="shared" si="27"/>
        <v>0</v>
      </c>
      <c r="D191" s="169"/>
      <c r="E191" s="149"/>
      <c r="F191" s="27">
        <f t="shared" si="28"/>
        <v>0</v>
      </c>
      <c r="G191" s="169"/>
      <c r="H191" s="149"/>
      <c r="I191" s="26">
        <f t="shared" si="29"/>
        <v>0</v>
      </c>
      <c r="M191" s="172"/>
    </row>
    <row r="192" spans="1:13">
      <c r="A192" s="146">
        <v>192</v>
      </c>
      <c r="C192">
        <f t="shared" si="27"/>
        <v>0</v>
      </c>
      <c r="D192" s="169"/>
      <c r="E192" s="149"/>
      <c r="F192" s="27">
        <f t="shared" si="28"/>
        <v>0</v>
      </c>
      <c r="G192" s="169"/>
      <c r="H192" s="149"/>
      <c r="I192" s="26">
        <f t="shared" si="29"/>
        <v>0</v>
      </c>
      <c r="M192" s="172"/>
    </row>
    <row r="193" spans="1:13">
      <c r="A193" s="146">
        <v>193</v>
      </c>
      <c r="C193">
        <f t="shared" si="27"/>
        <v>0</v>
      </c>
      <c r="D193" s="169"/>
      <c r="E193" s="149"/>
      <c r="F193" s="27">
        <f t="shared" si="28"/>
        <v>0</v>
      </c>
      <c r="G193" s="169"/>
      <c r="H193" s="149"/>
      <c r="I193" s="26">
        <f t="shared" si="29"/>
        <v>0</v>
      </c>
      <c r="M193" s="172"/>
    </row>
    <row r="194" spans="1:13">
      <c r="A194" s="146">
        <v>194</v>
      </c>
      <c r="C194">
        <f t="shared" si="27"/>
        <v>0</v>
      </c>
      <c r="D194" s="169"/>
      <c r="E194" s="149"/>
      <c r="F194" s="27">
        <f t="shared" si="28"/>
        <v>0</v>
      </c>
      <c r="G194" s="169"/>
      <c r="H194" s="149"/>
      <c r="I194" s="26">
        <f t="shared" si="29"/>
        <v>0</v>
      </c>
      <c r="M194" s="172"/>
    </row>
    <row r="195" spans="1:13">
      <c r="A195" s="146">
        <v>195</v>
      </c>
      <c r="C195">
        <f t="shared" si="27"/>
        <v>0</v>
      </c>
      <c r="D195" s="169"/>
      <c r="E195" s="149"/>
      <c r="F195" s="27">
        <f t="shared" si="28"/>
        <v>0</v>
      </c>
      <c r="G195" s="169"/>
      <c r="H195" s="149"/>
      <c r="I195" s="26">
        <f t="shared" si="29"/>
        <v>0</v>
      </c>
      <c r="M195" s="172"/>
    </row>
    <row r="196" spans="1:13">
      <c r="A196" s="146">
        <v>196</v>
      </c>
      <c r="C196">
        <f t="shared" si="27"/>
        <v>0</v>
      </c>
      <c r="D196" s="169"/>
      <c r="E196" s="149"/>
      <c r="F196" s="27">
        <f t="shared" si="28"/>
        <v>0</v>
      </c>
      <c r="G196" s="169"/>
      <c r="H196" s="149"/>
      <c r="I196" s="26">
        <f t="shared" si="29"/>
        <v>0</v>
      </c>
      <c r="M196" s="172"/>
    </row>
    <row r="197" spans="1:13">
      <c r="A197" s="146">
        <v>197</v>
      </c>
      <c r="C197" t="s">
        <v>4</v>
      </c>
      <c r="D197" s="26">
        <f t="shared" ref="D197:I197" si="30">SUM(D187:D196)</f>
        <v>0</v>
      </c>
      <c r="E197" s="24">
        <f t="shared" si="30"/>
        <v>0</v>
      </c>
      <c r="F197" s="27">
        <f t="shared" si="30"/>
        <v>0</v>
      </c>
      <c r="G197" s="26">
        <f t="shared" si="30"/>
        <v>0</v>
      </c>
      <c r="H197" s="24">
        <f t="shared" si="30"/>
        <v>0</v>
      </c>
      <c r="I197" s="26">
        <f t="shared" si="30"/>
        <v>0</v>
      </c>
      <c r="M197" s="172"/>
    </row>
    <row r="198" spans="1:13" ht="26.45" customHeight="1">
      <c r="A198" s="146">
        <v>198</v>
      </c>
      <c r="D198" s="6"/>
      <c r="E198" s="6"/>
      <c r="F198" s="33"/>
      <c r="G198" s="6"/>
      <c r="H198" s="6"/>
      <c r="I198" s="33"/>
      <c r="M198" s="172"/>
    </row>
    <row r="199" spans="1:13" s="63" customFormat="1" ht="23.45" customHeight="1">
      <c r="A199" s="146">
        <v>199</v>
      </c>
      <c r="B199" s="89">
        <v>5</v>
      </c>
      <c r="C199" s="90" t="s">
        <v>7</v>
      </c>
      <c r="D199" s="91"/>
      <c r="E199" s="92"/>
      <c r="F199" s="92"/>
      <c r="G199" s="92"/>
      <c r="H199" s="92"/>
      <c r="I199" s="92"/>
      <c r="J199" s="91"/>
      <c r="M199" s="177"/>
    </row>
    <row r="200" spans="1:13" s="10" customFormat="1" ht="22.5">
      <c r="A200" s="146">
        <v>200</v>
      </c>
      <c r="B200" s="51"/>
      <c r="C200" s="129" t="s">
        <v>116</v>
      </c>
      <c r="D200" s="127" t="s">
        <v>118</v>
      </c>
      <c r="E200" s="128"/>
      <c r="F200" s="128"/>
      <c r="G200" s="128"/>
      <c r="H200" s="128"/>
      <c r="I200" s="131"/>
      <c r="J200" s="12"/>
      <c r="K200" s="12"/>
      <c r="L200" s="12"/>
      <c r="M200" s="175"/>
    </row>
    <row r="201" spans="1:13" s="1" customFormat="1" ht="31.15" customHeight="1">
      <c r="A201" s="146">
        <v>201</v>
      </c>
      <c r="B201" s="70" t="s">
        <v>30</v>
      </c>
      <c r="C201" s="71" t="s">
        <v>31</v>
      </c>
      <c r="D201" s="188" t="s">
        <v>84</v>
      </c>
      <c r="E201" s="189"/>
      <c r="F201" s="190"/>
      <c r="G201" s="188" t="s">
        <v>85</v>
      </c>
      <c r="H201" s="189"/>
      <c r="I201" s="189"/>
      <c r="J201" s="37"/>
      <c r="K201" s="25"/>
      <c r="M201" s="179"/>
    </row>
    <row r="202" spans="1:13">
      <c r="A202" s="146">
        <v>202</v>
      </c>
      <c r="C202" s="106"/>
      <c r="D202" s="38" t="s">
        <v>3</v>
      </c>
      <c r="E202" s="38" t="s">
        <v>117</v>
      </c>
      <c r="F202" s="69" t="s">
        <v>2</v>
      </c>
      <c r="G202" s="38" t="s">
        <v>3</v>
      </c>
      <c r="H202" s="38" t="s">
        <v>117</v>
      </c>
      <c r="I202" s="39" t="s">
        <v>2</v>
      </c>
      <c r="M202" s="172"/>
    </row>
    <row r="203" spans="1:13" ht="15.6" customHeight="1">
      <c r="A203" s="146">
        <v>203</v>
      </c>
      <c r="C203" s="124" t="s">
        <v>5</v>
      </c>
      <c r="D203" s="170"/>
      <c r="E203" s="148"/>
      <c r="F203" s="125">
        <f t="shared" ref="F203:F213" si="31">SUM(D203:E203)</f>
        <v>0</v>
      </c>
      <c r="G203" s="170"/>
      <c r="H203" s="148"/>
      <c r="I203" s="126">
        <f t="shared" ref="I203:I213" si="32">SUM(G203:H203)</f>
        <v>0</v>
      </c>
      <c r="M203" s="172"/>
    </row>
    <row r="204" spans="1:13">
      <c r="A204" s="146">
        <v>204</v>
      </c>
      <c r="C204" t="str">
        <f t="shared" ref="C204:C213" si="33">C128</f>
        <v>AKN</v>
      </c>
      <c r="D204" s="168"/>
      <c r="E204" s="149"/>
      <c r="F204" s="27">
        <f t="shared" si="31"/>
        <v>0</v>
      </c>
      <c r="G204" s="168"/>
      <c r="H204" s="149"/>
      <c r="I204" s="26">
        <f t="shared" si="32"/>
        <v>0</v>
      </c>
      <c r="M204" s="172"/>
    </row>
    <row r="205" spans="1:13">
      <c r="A205" s="146">
        <v>205</v>
      </c>
      <c r="C205">
        <f t="shared" si="33"/>
        <v>0</v>
      </c>
      <c r="D205" s="168"/>
      <c r="E205" s="149"/>
      <c r="F205" s="27">
        <f t="shared" si="31"/>
        <v>0</v>
      </c>
      <c r="G205" s="168"/>
      <c r="H205" s="149"/>
      <c r="I205" s="26">
        <f t="shared" si="32"/>
        <v>0</v>
      </c>
      <c r="M205" s="172"/>
    </row>
    <row r="206" spans="1:13">
      <c r="A206" s="146">
        <v>206</v>
      </c>
      <c r="C206">
        <f t="shared" si="33"/>
        <v>0</v>
      </c>
      <c r="D206" s="168"/>
      <c r="E206" s="149"/>
      <c r="F206" s="27">
        <f t="shared" si="31"/>
        <v>0</v>
      </c>
      <c r="G206" s="168"/>
      <c r="H206" s="149"/>
      <c r="I206" s="26">
        <f t="shared" si="32"/>
        <v>0</v>
      </c>
      <c r="M206" s="172"/>
    </row>
    <row r="207" spans="1:13">
      <c r="A207" s="146">
        <v>207</v>
      </c>
      <c r="C207">
        <f t="shared" si="33"/>
        <v>0</v>
      </c>
      <c r="D207" s="168"/>
      <c r="E207" s="149"/>
      <c r="F207" s="27">
        <f t="shared" si="31"/>
        <v>0</v>
      </c>
      <c r="G207" s="168"/>
      <c r="H207" s="149"/>
      <c r="I207" s="26">
        <f t="shared" si="32"/>
        <v>0</v>
      </c>
      <c r="M207" s="172"/>
    </row>
    <row r="208" spans="1:13">
      <c r="A208" s="146">
        <v>208</v>
      </c>
      <c r="C208">
        <f t="shared" si="33"/>
        <v>0</v>
      </c>
      <c r="D208" s="168"/>
      <c r="E208" s="149"/>
      <c r="F208" s="27">
        <f>SUM(D208:E208)</f>
        <v>0</v>
      </c>
      <c r="G208" s="168"/>
      <c r="H208" s="149"/>
      <c r="I208" s="26">
        <f t="shared" si="32"/>
        <v>0</v>
      </c>
      <c r="M208" s="172"/>
    </row>
    <row r="209" spans="1:13">
      <c r="A209" s="146">
        <v>209</v>
      </c>
      <c r="C209">
        <f t="shared" si="33"/>
        <v>0</v>
      </c>
      <c r="D209" s="168"/>
      <c r="E209" s="149"/>
      <c r="F209" s="27">
        <f t="shared" si="31"/>
        <v>0</v>
      </c>
      <c r="G209" s="168"/>
      <c r="H209" s="149"/>
      <c r="I209" s="26">
        <f t="shared" si="32"/>
        <v>0</v>
      </c>
      <c r="M209" s="172"/>
    </row>
    <row r="210" spans="1:13">
      <c r="A210" s="146">
        <v>210</v>
      </c>
      <c r="C210">
        <f t="shared" si="33"/>
        <v>0</v>
      </c>
      <c r="D210" s="168"/>
      <c r="E210" s="149"/>
      <c r="F210" s="27">
        <f t="shared" si="31"/>
        <v>0</v>
      </c>
      <c r="G210" s="168"/>
      <c r="H210" s="149"/>
      <c r="I210" s="26">
        <f t="shared" si="32"/>
        <v>0</v>
      </c>
      <c r="M210" s="172"/>
    </row>
    <row r="211" spans="1:13">
      <c r="A211" s="146">
        <v>211</v>
      </c>
      <c r="C211">
        <f t="shared" si="33"/>
        <v>0</v>
      </c>
      <c r="D211" s="168"/>
      <c r="E211" s="149"/>
      <c r="F211" s="27">
        <f t="shared" si="31"/>
        <v>0</v>
      </c>
      <c r="G211" s="168"/>
      <c r="H211" s="149"/>
      <c r="I211" s="26">
        <f t="shared" si="32"/>
        <v>0</v>
      </c>
      <c r="M211" s="172"/>
    </row>
    <row r="212" spans="1:13">
      <c r="A212" s="146">
        <v>212</v>
      </c>
      <c r="C212">
        <f t="shared" si="33"/>
        <v>0</v>
      </c>
      <c r="D212" s="169"/>
      <c r="E212" s="149"/>
      <c r="F212" s="27">
        <f t="shared" si="31"/>
        <v>0</v>
      </c>
      <c r="G212" s="168"/>
      <c r="H212" s="149"/>
      <c r="I212" s="26">
        <f t="shared" si="32"/>
        <v>0</v>
      </c>
      <c r="M212" s="172"/>
    </row>
    <row r="213" spans="1:13">
      <c r="A213" s="146">
        <v>213</v>
      </c>
      <c r="C213">
        <f t="shared" si="33"/>
        <v>0</v>
      </c>
      <c r="D213" s="169"/>
      <c r="E213" s="149"/>
      <c r="F213" s="27">
        <f t="shared" si="31"/>
        <v>0</v>
      </c>
      <c r="G213" s="169"/>
      <c r="H213" s="149"/>
      <c r="I213" s="26">
        <f t="shared" si="32"/>
        <v>0</v>
      </c>
      <c r="M213" s="172"/>
    </row>
    <row r="214" spans="1:13" ht="16.899999999999999" customHeight="1">
      <c r="A214" s="146">
        <v>214</v>
      </c>
      <c r="C214" t="s">
        <v>4</v>
      </c>
      <c r="D214" s="26">
        <f t="shared" ref="D214:I214" si="34">SUM(D203:D213)</f>
        <v>0</v>
      </c>
      <c r="E214" s="24">
        <f t="shared" si="34"/>
        <v>0</v>
      </c>
      <c r="F214" s="27">
        <f t="shared" si="34"/>
        <v>0</v>
      </c>
      <c r="G214" s="26">
        <f t="shared" si="34"/>
        <v>0</v>
      </c>
      <c r="H214" s="24">
        <f t="shared" si="34"/>
        <v>0</v>
      </c>
      <c r="I214" s="26">
        <f t="shared" si="34"/>
        <v>0</v>
      </c>
      <c r="M214" s="172"/>
    </row>
    <row r="215" spans="1:13" ht="20.45" customHeight="1">
      <c r="A215" s="146">
        <v>215</v>
      </c>
      <c r="M215" s="172"/>
    </row>
    <row r="216" spans="1:13" s="1" customFormat="1" ht="31.15" customHeight="1">
      <c r="A216" s="146">
        <v>216</v>
      </c>
      <c r="B216" s="70" t="s">
        <v>32</v>
      </c>
      <c r="C216" s="71" t="s">
        <v>33</v>
      </c>
      <c r="D216" s="188" t="s">
        <v>86</v>
      </c>
      <c r="E216" s="189"/>
      <c r="F216" s="190"/>
      <c r="G216" s="188" t="s">
        <v>87</v>
      </c>
      <c r="H216" s="189"/>
      <c r="I216" s="189"/>
      <c r="J216" s="40"/>
      <c r="L216" s="25"/>
      <c r="M216" s="179"/>
    </row>
    <row r="217" spans="1:13">
      <c r="A217" s="146">
        <v>217</v>
      </c>
      <c r="C217" s="12"/>
      <c r="D217" s="38" t="s">
        <v>3</v>
      </c>
      <c r="E217" s="38" t="s">
        <v>117</v>
      </c>
      <c r="F217" s="69" t="s">
        <v>2</v>
      </c>
      <c r="G217" s="38" t="s">
        <v>3</v>
      </c>
      <c r="H217" s="38" t="s">
        <v>117</v>
      </c>
      <c r="I217" s="39" t="s">
        <v>2</v>
      </c>
      <c r="M217" s="172"/>
    </row>
    <row r="218" spans="1:13" ht="15">
      <c r="A218" s="146">
        <v>218</v>
      </c>
      <c r="C218" s="105" t="s">
        <v>5</v>
      </c>
      <c r="D218" s="168"/>
      <c r="E218" s="149"/>
      <c r="F218" s="27">
        <f t="shared" ref="F218:F228" si="35">SUM(D218:E218)</f>
        <v>0</v>
      </c>
      <c r="G218" s="168"/>
      <c r="H218" s="149"/>
      <c r="I218" s="26">
        <f t="shared" ref="I218:I228" si="36">SUM(G218:H218)</f>
        <v>0</v>
      </c>
      <c r="M218" s="172"/>
    </row>
    <row r="219" spans="1:13">
      <c r="A219" s="146">
        <v>219</v>
      </c>
      <c r="C219" t="str">
        <f t="shared" ref="C219:C228" si="37">C128</f>
        <v>AKN</v>
      </c>
      <c r="D219" s="168"/>
      <c r="E219" s="149"/>
      <c r="F219" s="27">
        <f t="shared" si="35"/>
        <v>0</v>
      </c>
      <c r="G219" s="168"/>
      <c r="H219" s="149"/>
      <c r="I219" s="26">
        <f t="shared" si="36"/>
        <v>0</v>
      </c>
      <c r="M219" s="172"/>
    </row>
    <row r="220" spans="1:13">
      <c r="A220" s="146">
        <v>220</v>
      </c>
      <c r="C220">
        <f t="shared" si="37"/>
        <v>0</v>
      </c>
      <c r="D220" s="169"/>
      <c r="E220" s="149"/>
      <c r="F220" s="27">
        <f t="shared" si="35"/>
        <v>0</v>
      </c>
      <c r="G220" s="169"/>
      <c r="H220" s="149"/>
      <c r="I220" s="26">
        <f t="shared" si="36"/>
        <v>0</v>
      </c>
      <c r="M220" s="172"/>
    </row>
    <row r="221" spans="1:13">
      <c r="A221" s="146">
        <v>221</v>
      </c>
      <c r="C221">
        <f t="shared" si="37"/>
        <v>0</v>
      </c>
      <c r="D221" s="168"/>
      <c r="E221" s="149"/>
      <c r="F221" s="27">
        <f t="shared" si="35"/>
        <v>0</v>
      </c>
      <c r="G221" s="168"/>
      <c r="H221" s="149"/>
      <c r="I221" s="26">
        <f t="shared" si="36"/>
        <v>0</v>
      </c>
      <c r="M221" s="172"/>
    </row>
    <row r="222" spans="1:13">
      <c r="A222" s="146">
        <v>222</v>
      </c>
      <c r="C222">
        <f t="shared" si="37"/>
        <v>0</v>
      </c>
      <c r="D222" s="169"/>
      <c r="E222" s="149"/>
      <c r="F222" s="27">
        <f t="shared" si="35"/>
        <v>0</v>
      </c>
      <c r="G222" s="169"/>
      <c r="H222" s="149"/>
      <c r="I222" s="26">
        <f t="shared" si="36"/>
        <v>0</v>
      </c>
      <c r="M222" s="172"/>
    </row>
    <row r="223" spans="1:13">
      <c r="A223" s="146">
        <v>223</v>
      </c>
      <c r="C223">
        <f t="shared" si="37"/>
        <v>0</v>
      </c>
      <c r="D223" s="169"/>
      <c r="E223" s="149"/>
      <c r="F223" s="27">
        <f t="shared" si="35"/>
        <v>0</v>
      </c>
      <c r="G223" s="169"/>
      <c r="H223" s="149"/>
      <c r="I223" s="26">
        <f t="shared" si="36"/>
        <v>0</v>
      </c>
      <c r="M223" s="172"/>
    </row>
    <row r="224" spans="1:13">
      <c r="A224" s="146">
        <v>224</v>
      </c>
      <c r="C224">
        <f t="shared" si="37"/>
        <v>0</v>
      </c>
      <c r="D224" s="169"/>
      <c r="E224" s="149"/>
      <c r="F224" s="27">
        <f t="shared" si="35"/>
        <v>0</v>
      </c>
      <c r="G224" s="169"/>
      <c r="H224" s="149"/>
      <c r="I224" s="26">
        <f t="shared" si="36"/>
        <v>0</v>
      </c>
      <c r="M224" s="172"/>
    </row>
    <row r="225" spans="1:13">
      <c r="A225" s="146">
        <v>225</v>
      </c>
      <c r="C225">
        <f t="shared" si="37"/>
        <v>0</v>
      </c>
      <c r="D225" s="169"/>
      <c r="E225" s="149"/>
      <c r="F225" s="27">
        <f t="shared" si="35"/>
        <v>0</v>
      </c>
      <c r="G225" s="169"/>
      <c r="H225" s="149"/>
      <c r="I225" s="26">
        <f t="shared" si="36"/>
        <v>0</v>
      </c>
      <c r="M225" s="172"/>
    </row>
    <row r="226" spans="1:13">
      <c r="A226" s="146">
        <v>226</v>
      </c>
      <c r="C226">
        <f t="shared" si="37"/>
        <v>0</v>
      </c>
      <c r="D226" s="169"/>
      <c r="E226" s="149"/>
      <c r="F226" s="27">
        <f t="shared" si="35"/>
        <v>0</v>
      </c>
      <c r="G226" s="169"/>
      <c r="H226" s="149"/>
      <c r="I226" s="26">
        <f t="shared" si="36"/>
        <v>0</v>
      </c>
      <c r="M226" s="172"/>
    </row>
    <row r="227" spans="1:13">
      <c r="A227" s="146">
        <v>227</v>
      </c>
      <c r="C227">
        <f t="shared" si="37"/>
        <v>0</v>
      </c>
      <c r="D227" s="169"/>
      <c r="E227" s="149"/>
      <c r="F227" s="27">
        <f t="shared" si="35"/>
        <v>0</v>
      </c>
      <c r="G227" s="169"/>
      <c r="H227" s="149"/>
      <c r="I227" s="26">
        <f t="shared" si="36"/>
        <v>0</v>
      </c>
      <c r="M227" s="172"/>
    </row>
    <row r="228" spans="1:13">
      <c r="A228" s="146">
        <v>228</v>
      </c>
      <c r="C228">
        <f t="shared" si="37"/>
        <v>0</v>
      </c>
      <c r="D228" s="169"/>
      <c r="E228" s="149"/>
      <c r="F228" s="27">
        <f t="shared" si="35"/>
        <v>0</v>
      </c>
      <c r="G228" s="169"/>
      <c r="H228" s="149"/>
      <c r="I228" s="26">
        <f t="shared" si="36"/>
        <v>0</v>
      </c>
      <c r="M228" s="172"/>
    </row>
    <row r="229" spans="1:13" ht="16.899999999999999" customHeight="1">
      <c r="A229" s="146">
        <v>229</v>
      </c>
      <c r="C229" t="s">
        <v>4</v>
      </c>
      <c r="D229" s="26">
        <f t="shared" ref="D229:I229" si="38">SUM(D218:D228)</f>
        <v>0</v>
      </c>
      <c r="E229" s="24">
        <f t="shared" si="38"/>
        <v>0</v>
      </c>
      <c r="F229" s="27">
        <f t="shared" si="38"/>
        <v>0</v>
      </c>
      <c r="G229" s="26">
        <f t="shared" si="38"/>
        <v>0</v>
      </c>
      <c r="H229" s="24">
        <f t="shared" si="38"/>
        <v>0</v>
      </c>
      <c r="I229" s="26">
        <f t="shared" si="38"/>
        <v>0</v>
      </c>
      <c r="M229" s="172"/>
    </row>
    <row r="230" spans="1:13" ht="20.45" customHeight="1">
      <c r="A230" s="146">
        <v>230</v>
      </c>
      <c r="M230" s="172"/>
    </row>
    <row r="231" spans="1:13" ht="15.75">
      <c r="A231" s="146">
        <v>231</v>
      </c>
      <c r="B231" s="48">
        <v>6</v>
      </c>
      <c r="C231" s="49" t="s">
        <v>34</v>
      </c>
      <c r="D231" s="10"/>
      <c r="E231" s="9"/>
      <c r="F231" s="9"/>
      <c r="G231" s="9"/>
      <c r="H231" s="9"/>
      <c r="I231" s="9"/>
      <c r="J231" s="10"/>
      <c r="M231" s="172"/>
    </row>
    <row r="232" spans="1:13" s="10" customFormat="1" ht="22.5">
      <c r="A232" s="146">
        <v>232</v>
      </c>
      <c r="B232" s="51"/>
      <c r="C232" s="127" t="s">
        <v>119</v>
      </c>
      <c r="D232" s="130"/>
      <c r="K232" s="12"/>
      <c r="L232" s="12"/>
      <c r="M232" s="175"/>
    </row>
    <row r="233" spans="1:13" ht="13.15" customHeight="1">
      <c r="A233" s="146">
        <v>233</v>
      </c>
      <c r="C233" t="s">
        <v>2</v>
      </c>
      <c r="D233" s="171"/>
      <c r="M233" s="172"/>
    </row>
    <row r="234" spans="1:13" ht="13.15" customHeight="1">
      <c r="A234" s="146">
        <v>234</v>
      </c>
      <c r="D234" s="6"/>
      <c r="M234" s="172"/>
    </row>
    <row r="235" spans="1:13" ht="20.45" customHeight="1">
      <c r="A235" s="146">
        <v>235</v>
      </c>
      <c r="M235" s="172"/>
    </row>
    <row r="236" spans="1:13" ht="15.75">
      <c r="A236" s="146">
        <v>236</v>
      </c>
      <c r="B236" s="48">
        <v>7</v>
      </c>
      <c r="C236" s="49" t="s">
        <v>36</v>
      </c>
      <c r="D236" s="40"/>
      <c r="E236" s="40"/>
      <c r="F236" s="40"/>
      <c r="G236" s="5"/>
      <c r="H236" s="5"/>
      <c r="I236" s="5"/>
      <c r="J236" s="5"/>
      <c r="K236" s="5"/>
      <c r="M236" s="172"/>
    </row>
    <row r="237" spans="1:13" s="10" customFormat="1" ht="33.75">
      <c r="A237" s="146">
        <v>237</v>
      </c>
      <c r="B237" s="51"/>
      <c r="C237" s="127" t="s">
        <v>123</v>
      </c>
      <c r="D237" s="130"/>
      <c r="E237" s="130"/>
      <c r="F237" s="130"/>
      <c r="K237" s="12"/>
      <c r="L237" s="12"/>
      <c r="M237" s="175"/>
    </row>
    <row r="238" spans="1:13" ht="15.75">
      <c r="A238" s="146">
        <v>238</v>
      </c>
      <c r="B238" s="48"/>
      <c r="C238" s="49"/>
      <c r="D238" s="28" t="s">
        <v>37</v>
      </c>
      <c r="E238" s="28" t="s">
        <v>38</v>
      </c>
      <c r="F238" s="28" t="s">
        <v>40</v>
      </c>
      <c r="G238" s="5"/>
      <c r="H238" s="5"/>
      <c r="I238" s="5"/>
      <c r="J238" s="5"/>
      <c r="K238" s="5"/>
      <c r="M238" s="172"/>
    </row>
    <row r="239" spans="1:13">
      <c r="A239" s="146">
        <v>239</v>
      </c>
      <c r="C239" t="str">
        <f t="shared" ref="C239:C248" si="39">C128</f>
        <v>AKN</v>
      </c>
      <c r="D239" s="168"/>
      <c r="E239" s="149"/>
      <c r="F239" s="26">
        <f t="shared" ref="F239:F249" si="40">SUM(D239:E239)</f>
        <v>0</v>
      </c>
      <c r="G239" s="33"/>
      <c r="H239" s="34"/>
      <c r="I239" s="6"/>
      <c r="J239" s="6"/>
      <c r="K239" s="33"/>
      <c r="M239" s="172"/>
    </row>
    <row r="240" spans="1:13">
      <c r="A240" s="146">
        <v>240</v>
      </c>
      <c r="C240">
        <f t="shared" si="39"/>
        <v>0</v>
      </c>
      <c r="D240" s="169"/>
      <c r="E240" s="149"/>
      <c r="F240" s="26">
        <f t="shared" si="40"/>
        <v>0</v>
      </c>
      <c r="G240" s="33"/>
      <c r="H240" s="19"/>
      <c r="I240" s="6"/>
      <c r="J240" s="6"/>
      <c r="K240" s="33"/>
      <c r="M240" s="172"/>
    </row>
    <row r="241" spans="1:13">
      <c r="A241" s="146">
        <v>241</v>
      </c>
      <c r="B241" s="4" t="s">
        <v>0</v>
      </c>
      <c r="C241">
        <f t="shared" si="39"/>
        <v>0</v>
      </c>
      <c r="D241" s="168"/>
      <c r="E241" s="149"/>
      <c r="F241" s="26">
        <f t="shared" si="40"/>
        <v>0</v>
      </c>
      <c r="G241" s="33"/>
      <c r="H241" s="19"/>
      <c r="I241" s="6"/>
      <c r="J241" s="6"/>
      <c r="K241" s="33"/>
      <c r="M241" s="172"/>
    </row>
    <row r="242" spans="1:13">
      <c r="A242" s="146">
        <v>242</v>
      </c>
      <c r="C242">
        <f t="shared" si="39"/>
        <v>0</v>
      </c>
      <c r="D242" s="168"/>
      <c r="E242" s="149"/>
      <c r="F242" s="26">
        <f t="shared" si="40"/>
        <v>0</v>
      </c>
      <c r="G242" s="33"/>
      <c r="H242" s="19"/>
      <c r="I242" s="6"/>
      <c r="J242" s="6"/>
      <c r="K242" s="33"/>
      <c r="M242" s="172"/>
    </row>
    <row r="243" spans="1:13">
      <c r="A243" s="146">
        <v>243</v>
      </c>
      <c r="C243">
        <f t="shared" si="39"/>
        <v>0</v>
      </c>
      <c r="D243" s="169"/>
      <c r="E243" s="149"/>
      <c r="F243" s="26">
        <f t="shared" si="40"/>
        <v>0</v>
      </c>
      <c r="G243" s="33"/>
      <c r="H243" s="19"/>
      <c r="I243" s="6"/>
      <c r="J243" s="6"/>
      <c r="K243" s="33"/>
      <c r="M243" s="172"/>
    </row>
    <row r="244" spans="1:13">
      <c r="A244" s="146">
        <v>244</v>
      </c>
      <c r="C244">
        <f t="shared" si="39"/>
        <v>0</v>
      </c>
      <c r="D244" s="169"/>
      <c r="E244" s="149"/>
      <c r="F244" s="26">
        <f t="shared" si="40"/>
        <v>0</v>
      </c>
      <c r="G244" s="33"/>
      <c r="H244" s="19"/>
      <c r="I244" s="6"/>
      <c r="J244" s="6"/>
      <c r="K244" s="33"/>
      <c r="M244" s="172"/>
    </row>
    <row r="245" spans="1:13">
      <c r="A245" s="146">
        <v>245</v>
      </c>
      <c r="B245" s="4" t="s">
        <v>0</v>
      </c>
      <c r="C245">
        <f t="shared" si="39"/>
        <v>0</v>
      </c>
      <c r="D245" s="169"/>
      <c r="E245" s="149"/>
      <c r="F245" s="26">
        <f t="shared" si="40"/>
        <v>0</v>
      </c>
      <c r="G245" s="33"/>
      <c r="H245" s="19"/>
      <c r="I245" s="6"/>
      <c r="J245" s="6"/>
      <c r="K245" s="33"/>
      <c r="M245" s="172"/>
    </row>
    <row r="246" spans="1:13">
      <c r="A246" s="146">
        <v>246</v>
      </c>
      <c r="C246">
        <f t="shared" si="39"/>
        <v>0</v>
      </c>
      <c r="D246" s="169"/>
      <c r="E246" s="149"/>
      <c r="F246" s="26">
        <f t="shared" si="40"/>
        <v>0</v>
      </c>
      <c r="G246" s="33"/>
      <c r="H246" s="19"/>
      <c r="I246" s="6"/>
      <c r="J246" s="6"/>
      <c r="K246" s="33"/>
      <c r="M246" s="172"/>
    </row>
    <row r="247" spans="1:13">
      <c r="A247" s="146">
        <v>247</v>
      </c>
      <c r="C247">
        <f t="shared" si="39"/>
        <v>0</v>
      </c>
      <c r="D247" s="169"/>
      <c r="E247" s="149"/>
      <c r="F247" s="26">
        <f t="shared" si="40"/>
        <v>0</v>
      </c>
      <c r="G247" s="33"/>
      <c r="H247" s="19"/>
      <c r="I247" s="6"/>
      <c r="J247" s="6"/>
      <c r="K247" s="33"/>
      <c r="M247" s="172"/>
    </row>
    <row r="248" spans="1:13">
      <c r="A248" s="146">
        <v>248</v>
      </c>
      <c r="C248">
        <f t="shared" si="39"/>
        <v>0</v>
      </c>
      <c r="D248" s="169"/>
      <c r="E248" s="149"/>
      <c r="F248" s="26">
        <f t="shared" si="40"/>
        <v>0</v>
      </c>
      <c r="G248" s="33"/>
      <c r="H248" s="19"/>
      <c r="I248" s="6"/>
      <c r="J248" s="6"/>
      <c r="K248" s="33"/>
      <c r="M248" s="172"/>
    </row>
    <row r="249" spans="1:13">
      <c r="A249" s="146">
        <v>249</v>
      </c>
      <c r="C249" t="s">
        <v>4</v>
      </c>
      <c r="D249" s="26">
        <f>SUM(D239:D248)</f>
        <v>0</v>
      </c>
      <c r="E249" s="26">
        <f>SUM(E239:E248)</f>
        <v>0</v>
      </c>
      <c r="F249" s="26">
        <f t="shared" si="40"/>
        <v>0</v>
      </c>
      <c r="M249" s="172"/>
    </row>
    <row r="250" spans="1:13">
      <c r="A250" s="146">
        <v>250</v>
      </c>
      <c r="M250" s="172"/>
    </row>
    <row r="251" spans="1:13">
      <c r="A251" s="146">
        <v>251</v>
      </c>
      <c r="C251" s="1" t="s">
        <v>39</v>
      </c>
      <c r="M251" s="172"/>
    </row>
  </sheetData>
  <sheetProtection password="DDD6" sheet="1"/>
  <protectedRanges>
    <protectedRange password="DDD6" sqref="C128:E137 G128:H137 D142:E151 G142:H151 D159:E168 G159:H168 D173:E182 G173:H182 D187:E196 G187:H196 D203:E213 G203:H213 D218:E227 G218:H228 D233 D239:E248" name="Plage2"/>
    <protectedRange password="DDD6" sqref="D6:D11 D15:D20 H6:H7 D26:L29 E35:L36 E38:L39 E41:L42 E44:L45 E47:L48 E50:L51 E53:L54 E56:L57 E59:L60 E65:L65 E72:L84 E87:L87 E92:L102 E105:L105 C128" name="Plage1"/>
  </protectedRanges>
  <mergeCells count="17">
    <mergeCell ref="D140:F140"/>
    <mergeCell ref="D185:F185"/>
    <mergeCell ref="G185:I185"/>
    <mergeCell ref="G157:I157"/>
    <mergeCell ref="D171:F171"/>
    <mergeCell ref="G171:I171"/>
    <mergeCell ref="D157:F157"/>
    <mergeCell ref="D216:F216"/>
    <mergeCell ref="G216:I216"/>
    <mergeCell ref="D201:F201"/>
    <mergeCell ref="G201:I201"/>
    <mergeCell ref="C1:L1"/>
    <mergeCell ref="D8:E8"/>
    <mergeCell ref="D126:F126"/>
    <mergeCell ref="G126:I126"/>
    <mergeCell ref="C4:L4"/>
    <mergeCell ref="G140:I140"/>
  </mergeCells>
  <phoneticPr fontId="0" type="noConversion"/>
  <dataValidations count="1">
    <dataValidation type="list" allowBlank="1" showInputMessage="1" showErrorMessage="1" promptTitle="Crane Type" prompt="select a value from the list" sqref="E36:L36" xr:uid="{674799BC-3153-46FA-9EA3-E4CFAA8993E4}">
      <formula1>$N$26:$N$29</formula1>
    </dataValidation>
  </dataValidations>
  <pageMargins left="0.51181102362204722" right="0.51181102362204722" top="0.70866141732283472" bottom="0.6692913385826772" header="0.51181102362204722" footer="0.19685039370078741"/>
  <pageSetup paperSize="9" scale="55" fitToHeight="10" orientation="portrait" r:id="rId1"/>
  <headerFooter alignWithMargins="0">
    <oddHeader>&amp;L&amp;A&amp;C&amp;D&amp;RPage &amp;P of  &amp;N</oddHeader>
    <oddFooter>&amp;L&amp;Z&amp;F</oddFooter>
  </headerFooter>
  <rowBreaks count="2" manualBreakCount="2">
    <brk id="88" max="16383" man="1"/>
    <brk id="1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TDPR v1.1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M.Schröder</dc:creator>
  <cp:lastModifiedBy>AYA QUABIL</cp:lastModifiedBy>
  <cp:lastPrinted>2021-12-29T17:21:38Z</cp:lastPrinted>
  <dcterms:created xsi:type="dcterms:W3CDTF">2002-06-05T20:42:31Z</dcterms:created>
  <dcterms:modified xsi:type="dcterms:W3CDTF">2026-07-14T10:49:48Z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